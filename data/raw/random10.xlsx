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<sst xmlns="http://schemas.openxmlformats.org/spreadsheetml/2006/main" count="1263" uniqueCount="462">
  <si>
    <t xml:space="preserve">cov_nr</t>
  </si>
  <si>
    <t xml:space="preserve">arm</t>
  </si>
  <si>
    <t xml:space="preserve">arm_explanation</t>
  </si>
  <si>
    <t xml:space="preserve">needs_discussion_arm</t>
  </si>
  <si>
    <t xml:space="preserve">needs_discussion_arm_explanation</t>
  </si>
  <si>
    <t xml:space="preserve">n</t>
  </si>
  <si>
    <t xml:space="preserve">time_intervention_days</t>
  </si>
  <si>
    <t xml:space="preserve">time_followup_days</t>
  </si>
  <si>
    <t xml:space="preserve">time_total_days</t>
  </si>
  <si>
    <t xml:space="preserve">needs_discussion_time</t>
  </si>
  <si>
    <t xml:space="preserve">needs_discussion_time_explanation</t>
  </si>
  <si>
    <t xml:space="preserve">diagnosis</t>
  </si>
  <si>
    <t xml:space="preserve">gender_pct_female</t>
  </si>
  <si>
    <t xml:space="preserve">gender_pct_male</t>
  </si>
  <si>
    <t xml:space="preserve">gender_female_n</t>
  </si>
  <si>
    <t xml:space="preserve">gender_male_n</t>
  </si>
  <si>
    <t xml:space="preserve">needs_discussion_gender</t>
  </si>
  <si>
    <t xml:space="preserve">needs_discussion_gender_explanation</t>
  </si>
  <si>
    <t xml:space="preserve">age_mean</t>
  </si>
  <si>
    <t xml:space="preserve">age_sd</t>
  </si>
  <si>
    <t xml:space="preserve">age_se</t>
  </si>
  <si>
    <t xml:space="preserve">age_other</t>
  </si>
  <si>
    <t xml:space="preserve">bmi_mean</t>
  </si>
  <si>
    <t xml:space="preserve">bmi_sd</t>
  </si>
  <si>
    <t xml:space="preserve">bmi_other</t>
  </si>
  <si>
    <t xml:space="preserve">bp_systolic_mean</t>
  </si>
  <si>
    <t xml:space="preserve">bp_systolic_sd</t>
  </si>
  <si>
    <t xml:space="preserve">bp_diastolic_mean</t>
  </si>
  <si>
    <t xml:space="preserve">bp_diastolic_sd</t>
  </si>
  <si>
    <t xml:space="preserve">bp_other</t>
  </si>
  <si>
    <t xml:space="preserve">smoking_status</t>
  </si>
  <si>
    <t xml:space="preserve">pack_years_mean</t>
  </si>
  <si>
    <t xml:space="preserve">pack_years_sd</t>
  </si>
  <si>
    <t xml:space="preserve">pack_years_other</t>
  </si>
  <si>
    <t xml:space="preserve">smoking_status_other</t>
  </si>
  <si>
    <t xml:space="preserve">fev1_pct_mean</t>
  </si>
  <si>
    <t xml:space="preserve">fev1_pct_sd</t>
  </si>
  <si>
    <t xml:space="preserve">fev1_other</t>
  </si>
  <si>
    <t xml:space="preserve">disease_severity_other</t>
  </si>
  <si>
    <t xml:space="preserve">healthcare_setting</t>
  </si>
  <si>
    <t xml:space="preserve">healthcare_setting_explanation</t>
  </si>
  <si>
    <t xml:space="preserve">healthcare_setting_confidence</t>
  </si>
  <si>
    <t xml:space="preserve">healthcare_setting_confidence_explanation</t>
  </si>
  <si>
    <t xml:space="preserve">health_literacy</t>
  </si>
  <si>
    <t xml:space="preserve">health_literacy_instrument_name</t>
  </si>
  <si>
    <t xml:space="preserve">health_literacy_instrument_value</t>
  </si>
  <si>
    <t xml:space="preserve">health_literacy_instrument_other</t>
  </si>
  <si>
    <t xml:space="preserve">digital_strategy_excludes</t>
  </si>
  <si>
    <t xml:space="preserve">digital_strategy_excludes_explanation</t>
  </si>
  <si>
    <t xml:space="preserve">digital_strategy_provides_equipment</t>
  </si>
  <si>
    <t xml:space="preserve">digital_strategy_provides_equipment_explanation</t>
  </si>
  <si>
    <t xml:space="preserve">needs_discussion_equipment</t>
  </si>
  <si>
    <t xml:space="preserve">needs_discussion_equipment_explanation</t>
  </si>
  <si>
    <t xml:space="preserve">digital_strategy_provides_training</t>
  </si>
  <si>
    <t xml:space="preserve">digital_strategy_provides_training_explanation</t>
  </si>
  <si>
    <t xml:space="preserve">digital_strategy_provides_ongoing_support</t>
  </si>
  <si>
    <t xml:space="preserve">digital_strategy_provides_ongoing_support_explanation</t>
  </si>
  <si>
    <t xml:space="preserve">digital_literacy</t>
  </si>
  <si>
    <t xml:space="preserve">digital_literacy_possession</t>
  </si>
  <si>
    <t xml:space="preserve">digital_literacy_frequency</t>
  </si>
  <si>
    <t xml:space="preserve">digital_literacy_skills</t>
  </si>
  <si>
    <t xml:space="preserve">ses</t>
  </si>
  <si>
    <t xml:space="preserve">ses_income</t>
  </si>
  <si>
    <t xml:space="preserve">ses_living_situation</t>
  </si>
  <si>
    <t xml:space="preserve">ses_relationship_status</t>
  </si>
  <si>
    <t xml:space="preserve">ses_job_status</t>
  </si>
  <si>
    <t xml:space="preserve">ses_living_location</t>
  </si>
  <si>
    <t xml:space="preserve">educational_level</t>
  </si>
  <si>
    <t xml:space="preserve">ethnicity</t>
  </si>
  <si>
    <t xml:space="preserve">_metadata</t>
  </si>
  <si>
    <t xml:space="preserve">treat1</t>
  </si>
  <si>
    <t xml:space="preserve">12-week home rehabilitation with remote monitoring and weekly health coach calls</t>
  </si>
  <si>
    <t xml:space="preserve">NA</t>
  </si>
  <si>
    <t xml:space="preserve">84</t>
  </si>
  <si>
    <t xml:space="preserve">168</t>
  </si>
  <si>
    <t xml:space="preserve">COPD</t>
  </si>
  <si>
    <t xml:space="preserve">53.72</t>
  </si>
  <si>
    <t xml:space="preserve">46.28</t>
  </si>
  <si>
    <t xml:space="preserve">101</t>
  </si>
  <si>
    <t xml:space="preserve">87</t>
  </si>
  <si>
    <t xml:space="preserve">69.335</t>
  </si>
  <si>
    <t xml:space="preserve">9.53</t>
  </si>
  <si>
    <t xml:space="preserve">28.561</t>
  </si>
  <si>
    <t xml:space="preserve">7.144</t>
  </si>
  <si>
    <t xml:space="preserve">Current: 8.7% -&gt; percentage correct, no n reported</t>
  </si>
  <si>
    <t xml:space="preserve">44.103</t>
  </si>
  <si>
    <t xml:space="preserve">19.0</t>
  </si>
  <si>
    <t xml:space="preserve">CRQ_physical_mean: 3.8~CRQ_physical_sd: 1.18~CRQ_emotional_mean: 4.48~CRQ_emotional_sd: 1.18~CRQ_dyspnea_mean: 4.01~CRQ_dyspnea_sd: 1.42~CRQ_fatigue_mean: 3.57~CRQ_fatigue_sd: 1.2~CRQ_emotions_mean: 4.55~CRQ_emotions_sd: 1.17~CRQ_mastery_mean: 4.35~CRQ_mastery_sd: 1.41~mMRC_mean: 2.74~mMRC_sd: 0.82~SMAS_total_mean: 64.69~SMAS_total_sd: 12.87~PSQI_total_mean: 9.39~PSQI_total_sd: 3.58~other: PHQ-9 mean 6.11 (SD 4.8)~other: GAD2 mean 1.58 (SD 1.75)~steps_per_day_mean: 7148.66~steps_per_day_sd: 3108.48~light_physical_activity_min_mean: 493.35~light_physical_activity_min_sd: 116.38~moderate_physical_activity_min_mean: 82.63~moderate_physical_activity_min_sd: 61.7~total_sleep_time_min_mean: 82.63~total_sleep_time_min_sd: 61.7~LTOT_pct: 28.1%~other: long-acting bronchodilators: 150 (81.1%)~other: inhaled corticosteroids: 176 (95.1%)~other: long-term antibiotics: 49 (26.5%)~other: long-term prednisone: 43 (23.2%)~other: depression/anxiety meds: 75 (40.5%)</t>
  </si>
  <si>
    <t xml:space="preserve">home-based remote monitoring with weekly health coach calls; clinical responsibility lies with hospital pulmonology team at Mayo Clinic; participants recruited from outpatient clinics</t>
  </si>
  <si>
    <t xml:space="preserve">moderate</t>
  </si>
  <si>
    <t xml:space="preserve">Step 1 split: clinical responsibility suggests 2 (hospital specialist), delivery location suggests 3 (home-based). Step 2 provider type (health coaches supervised by research team at Mayo) and recruitment source (outpatient clinics) confirmed 2.</t>
  </si>
  <si>
    <t xml:space="preserve">computer tablet with Wi-Fi/cellular, Garmin Vivofit activity monitor, and Nonin 3150 oximeter provided</t>
  </si>
  <si>
    <t xml:space="preserve">Income ≤$30,000: 30.1% -&gt; percentage extracted correctly, n reported but not extracted. Weird answers when recalculating n from percentages (suggesting missingness) Ahh, 187 (ITT) - 8 (refused further participation) - 14 (No baseline) *0,301 = 49,665 which rounds up to the reported n50</t>
  </si>
  <si>
    <t xml:space="preserve">Living alone: 31.6%  -&gt; percentage extracted correctly, n reported but not extracted. Weird answers when recalculating n from percentages (suggesting missingness)</t>
  </si>
  <si>
    <t xml:space="preserve">Married: 58.6%  -&gt; percentage extracted correctly, n reported but not extracted. Weird answers when recalculating n from percentages (suggesting missingness)</t>
  </si>
  <si>
    <t xml:space="preserve">High school or less: 25.7%  -&gt; percentage extracted correctly, n reported but not extracted. Weird answers when recalculating n from percentages (suggesting missingness)</t>
  </si>
  <si>
    <t xml:space="preserve">Hispanic or Latino: 1.1%~Not Hispanic or Latino: 96.3%~Unknown/not reported: 2.7%~White: 94.1%  -&gt; percentages extracted correctly, n reported but not extracted. Weird answers when recalculating n from percentages (suggesting missingness) ALSO SUM(percentage)&gt;100, white reported separately.</t>
  </si>
  <si>
    <t xml:space="preserve">{'prompt_version': 'v11', 'model': 'ds-flash', 'extracted_at': '2026-05-07T23:49:05.805865', 'study_info': {'n_arms': 2, 'arm_labels': ['control/wait', 'intervention now']}}</t>
  </si>
  <si>
    <t xml:space="preserve">control</t>
  </si>
  <si>
    <t xml:space="preserve">12-week usual care with self-study educational packet -&gt; waitlist control</t>
  </si>
  <si>
    <t xml:space="preserve">59.36</t>
  </si>
  <si>
    <t xml:space="preserve">40.64</t>
  </si>
  <si>
    <t xml:space="preserve">111</t>
  </si>
  <si>
    <t xml:space="preserve">76</t>
  </si>
  <si>
    <t xml:space="preserve">68.676</t>
  </si>
  <si>
    <t xml:space="preserve">29.129</t>
  </si>
  <si>
    <t xml:space="preserve">7.307</t>
  </si>
  <si>
    <t xml:space="preserve">Current: 7.3% -&gt; percentage correct, no n reported</t>
  </si>
  <si>
    <t xml:space="preserve">45.274</t>
  </si>
  <si>
    <t xml:space="preserve">18.87</t>
  </si>
  <si>
    <t xml:space="preserve">CRQ_physical_mean: 3.94~CRQ_physical_sd: 1.13~CRQ_emotional_mean: 4.5~CRQ_emotional_sd: 1.19~CRQ_dyspnea_mean: 4.21~CRQ_dyspnea_sd: 1.42~CRQ_fatigue_mean: 3.62~CRQ_fatigue_sd: 1.18~CRQ_emotions_mean: 4.57~CRQ_emotions_sd: 1.19~CRQ_mastery_mean: 4.38~CRQ_mastery_sd: 1.4~mMRC_mean: 2.64~mMRC_sd: 0.86~SMAS_total_mean: 64.19~SMAS_total_sd: 12.69~PSQI_total_mean: 9.33~PSQI_total_sd: 3.52~other: PHQ-9 mean 6.02 (SD 5.44)~other: GAD2 mean 1.48 (SD 1.76)~steps_per_day_mean: 7117.01~steps_per_day_sd: 3212.03~light_physical_activity_min_mean: 493.98~light_physical_activity_min_sd: 101.73~moderate_physical_activity_min_mean: 85.77~moderate_physical_activity_min_sd: 71.26~total_sleep_time_min_mean: 85.77~total_sleep_time_min_sd: 71.26~LTOT_pct: 32.3%~other: long-acting bronchodilators: 144 (79.6%)~other: inhaled corticosteroids: 165 (91.7%)~other: long-term antibiotics: 38 (20.9%)~other: long-term prednisone: 34 (18.7%)~other: depression/anxiety meds: 75 (41.2%)</t>
  </si>
  <si>
    <t xml:space="preserve">usual care at outpatient clinics (recruitment sites Mayo Clinic and Health Partners)</t>
  </si>
  <si>
    <t xml:space="preserve">Only recruitment source available (outpatient clinics, suggests 2). Clinical responsibility and delivery location not explicitly described for control arm; inherited from recruitment setting.</t>
  </si>
  <si>
    <t xml:space="preserve">NA -&gt; correct, but should probably code "control"</t>
  </si>
  <si>
    <t xml:space="preserve">Income ≤$30,000: 33.7%  -&gt; percentage extracted correctly, n reported but not extracted. Weird answers when recalculating n from percentages (suggesting missingness) Ahh, 188 (ITT) - 12 (refused further participation) - 11 (No baseline) *0,337 = 55,6 which rounds down to the reported n55</t>
  </si>
  <si>
    <t xml:space="preserve">Living alone: 32.5%  -&gt; percentage extracted correctly, n reported but not extracted. Weird answers when recalculating n from percentages (suggesting missingness)</t>
  </si>
  <si>
    <t xml:space="preserve">Married: 60.4%  -&gt; percentage extracted correctly, n reported but not extracted. Weird answers when recalculating n from percentages (suggesting missingness)</t>
  </si>
  <si>
    <t xml:space="preserve">High school or less: 40.9%  -&gt; percentage extracted correctly, n reported but not extracted. Weird answers when recalculating n from percentages (suggesting missingness)</t>
  </si>
  <si>
    <t xml:space="preserve">Hispanic or Latino: 0.5%~Not Hispanic or Latino: 96.8%~Unknown/not reported: 2.7%~White: 96.3%  -&gt; percentages extracted correctly, n reported but not extracted. Weird answers when recalculating n from percentages (suggesting missingness) ALSO SUM(percentage)&gt;100, white reported separately.</t>
  </si>
  <si>
    <t xml:space="preserve">telehomecare (Telekit)</t>
  </si>
  <si>
    <t xml:space="preserve">47 -&gt; this is the n from table 1, ITT strictly 60</t>
  </si>
  <si>
    <t xml:space="preserve">300</t>
  </si>
  <si>
    <t xml:space="preserve">0</t>
  </si>
  <si>
    <t xml:space="preserve">FALSE -&gt; intervention = FU should probably flag, correct total time though</t>
  </si>
  <si>
    <t xml:space="preserve">46.81</t>
  </si>
  <si>
    <t xml:space="preserve">53.19</t>
  </si>
  <si>
    <t xml:space="preserve">22</t>
  </si>
  <si>
    <t xml:space="preserve">25</t>
  </si>
  <si>
    <t xml:space="preserve">70.2</t>
  </si>
  <si>
    <t xml:space="preserve">9.06</t>
  </si>
  <si>
    <t xml:space="preserve">130.4</t>
  </si>
  <si>
    <t xml:space="preserve">18.1</t>
  </si>
  <si>
    <t xml:space="preserve">75.6</t>
  </si>
  <si>
    <t xml:space="preserve">8.9</t>
  </si>
  <si>
    <t xml:space="preserve">46.6</t>
  </si>
  <si>
    <t xml:space="preserve">15.6</t>
  </si>
  <si>
    <t xml:space="preserve">FVC_pct_mean: 66.6~FVC_pct_sd: 19.4~HR_mean: 73.3~HR_sd: 13.3</t>
  </si>
  <si>
    <t xml:space="preserve">home-based telehomecare monitored by community nurses -&gt; participants recruited from GP lists</t>
  </si>
  <si>
    <t xml:space="preserve">Step 1 split: clinical responsibility shared between GP (primary care) and community nurses (community care); delivery location home-based (community care). Step 2 provider type (community nurses) confirmed community care. Coded 3.</t>
  </si>
  <si>
    <t xml:space="preserve">TOFHLA</t>
  </si>
  <si>
    <t xml:space="preserve">70.26</t>
  </si>
  <si>
    <t xml:space="preserve">SD 18.68; subscales: numeracy 37.26 (9.30), reading comprehension 33.00 (11.87)</t>
  </si>
  <si>
    <t xml:space="preserve">have a phone connection</t>
  </si>
  <si>
    <t xml:space="preserve">tablet, blood pressure monitor, scale, pulse oximeter</t>
  </si>
  <si>
    <t xml:space="preserve">nurse demonstrated tablet operation and physical measurements, went through manual</t>
  </si>
  <si>
    <t xml:space="preserve">follow-up session at 3-4 weeks, contact information for community nurse</t>
  </si>
  <si>
    <t xml:space="preserve">Living alone: 40.43%~Married or living with a partner: 59.57% -&gt; recalculated percentages, more accurate than reported! No n reported, but possible to calculate.</t>
  </si>
  <si>
    <t xml:space="preserve">Elementary school: 36.17%~High school: 6.38%~Higher education: 12.77%~Skilled: 44.68% -&gt; recalculated percentages, more accurate than reported! No n reported, but possible to calculate.</t>
  </si>
  <si>
    <t xml:space="preserve">{'prompt_version': 'v11', 'model': 'ds-flash', 'extracted_at': '2026-05-08T00:12:45.874391'}</t>
  </si>
  <si>
    <t xml:space="preserve">usual care</t>
  </si>
  <si>
    <t xml:space="preserve">43 -&gt; this is the n from table 1, ITT strictly 60</t>
  </si>
  <si>
    <t xml:space="preserve">58.14</t>
  </si>
  <si>
    <t xml:space="preserve">41.86</t>
  </si>
  <si>
    <t xml:space="preserve">18</t>
  </si>
  <si>
    <t xml:space="preserve">69.5</t>
  </si>
  <si>
    <t xml:space="preserve">10.12</t>
  </si>
  <si>
    <t xml:space="preserve">132.8</t>
  </si>
  <si>
    <t xml:space="preserve">18.6</t>
  </si>
  <si>
    <t xml:space="preserve">79.4</t>
  </si>
  <si>
    <t xml:space="preserve">12.4</t>
  </si>
  <si>
    <t xml:space="preserve">48.4</t>
  </si>
  <si>
    <t xml:space="preserve">FVC_pct_mean: 76.3~FVC_pct_sd: 16.6~HR_mean: 79.4~HR_sd: 13.4</t>
  </si>
  <si>
    <t xml:space="preserve">usual care delivered by general practitioner and municipality nursing; participants recruited from GP lists</t>
  </si>
  <si>
    <t xml:space="preserve">Only recruitment source (GP lists) available as signal; delivery location not explicitly described. Coded 1 based on GP responsibility.</t>
  </si>
  <si>
    <t xml:space="preserve">72.84</t>
  </si>
  <si>
    <t xml:space="preserve">SD 19.89; subscales: numeracy 36.95 (10.01), reading comprehension 35.88 (11.42)</t>
  </si>
  <si>
    <t xml:space="preserve">have a phone connection (inclusion criterion for trial)</t>
  </si>
  <si>
    <t xml:space="preserve">Living alone: 60.47%~Married or living with a partner: 39.53% -&gt; recalculated percentages, more accurate than reported! No n reported, but possible to calculate.</t>
  </si>
  <si>
    <t xml:space="preserve">Elementary school: 18.60%~High school: 2.33%~Higher education: 20.93%~Skilled: 58.14% -&gt; recalculated percentages, more accurate than reported! No n reported, but possible to calculate.</t>
  </si>
  <si>
    <t xml:space="preserve">usual care (no rehabilitation, no contact, only advice during hospital stay)</t>
  </si>
  <si>
    <t xml:space="preserve">30</t>
  </si>
  <si>
    <t xml:space="preserve">40.0</t>
  </si>
  <si>
    <t xml:space="preserve">60.0</t>
  </si>
  <si>
    <t xml:space="preserve">6</t>
  </si>
  <si>
    <t xml:space="preserve">9</t>
  </si>
  <si>
    <t xml:space="preserve">68</t>
  </si>
  <si>
    <t xml:space="preserve">29</t>
  </si>
  <si>
    <t xml:space="preserve">5</t>
  </si>
  <si>
    <t xml:space="preserve">48</t>
  </si>
  <si>
    <t xml:space="preserve">FEV1_FVC_ratio_mean: 47~FEV1_FVC_ratio_sd: 13~other: QF (Nm) mean: 112 (SD 28)~other: QF (% predicted) mean: 85 (SD 43)~6MWD_mean: 317~6MWD_sd: 95~6MWD_pct_pred_mean: 53~6MWD_pct_pred_sd: 16~other: Stops during 6MWD mean: 0.66 (SD 0.62)~other: Duration of stops (s) mean: 38 (SD 48)~steps_per_day_mean: 1557~steps_per_day_sd: 1319~other: PAwalk (minutes/day) mean: 20 (SD 17)~other: PAint (m/s2) mean: 1.34 (SD 0.50)~mMRC_median: 2~mMRC_iqr: 2-3~CAT_median: 19~CAT_iqr: 15-22</t>
  </si>
  <si>
    <t xml:space="preserve">home-based pedometer and telephone counseling with hospital physiotherapist support; recruited from university hospital -&gt; control no rehabilitation, no contact, only advice during hospital stay (participants only wore the pedometer on the pre-set days) PR offered after the month.</t>
  </si>
  <si>
    <t xml:space="preserve">Step 1 split: clinical responsibility with hospital specialist (suggests 2), delivery at home (suggests 3). Step 2 provider type (hospital-employed physiotherapist delivers telephone counseling) confirmed 2.</t>
  </si>
  <si>
    <t xml:space="preserve">Ability to work with electronic devices required</t>
  </si>
  <si>
    <t xml:space="preserve">NA -&gt; borderline, pedometer provided, but only for study measurements not intervention.</t>
  </si>
  <si>
    <t xml:space="preserve">{'prompt_version': 'v11', 'model': 'ds-flash', 'extracted_at': '2026-05-07T23:56:01.466738', 'study_info': {'n_arms': 2, 'arm_labels': ['Control', 'Intervention']}}</t>
  </si>
  <si>
    <t xml:space="preserve">pedometer (Fitbit Ultra) with real-time feedback and telephone counseling 3x/week</t>
  </si>
  <si>
    <t xml:space="preserve">46.67</t>
  </si>
  <si>
    <t xml:space="preserve">53.33</t>
  </si>
  <si>
    <t xml:space="preserve">7</t>
  </si>
  <si>
    <t xml:space="preserve">8</t>
  </si>
  <si>
    <t xml:space="preserve">66</t>
  </si>
  <si>
    <t xml:space="preserve">38</t>
  </si>
  <si>
    <t xml:space="preserve">17</t>
  </si>
  <si>
    <t xml:space="preserve">FEV1_FVC_ratio_mean: 41~FEV1_FVC_ratio_sd: 14~other: QF (Nm) mean: 84 (SD 42)~other: QF (% predicted) mean: 71 (SD 38)~6MWD_mean: 235~6MWD_sd: 134~6MWD_pct_pred_mean: 36~6MWD_pct_pred_sd: 18~other: Stops during 6MWD mean: 1.23 (SD 0.92)~other: Duration of stops (s) mean: 81 (SD 61)~steps_per_day_mean: 1644~steps_per_day_sd: 2751~other: PAwalk (minutes/day) mean: 22 (SD 35)~other: PAint (m/s2) mean: 1.46 (SD 0.25)~mMRC_median: 3~mMRC_iqr: 2-3~CAT_median: 25~CAT_iqr: 13-28</t>
  </si>
  <si>
    <t xml:space="preserve">home-based pedometer and telephone counseling with hospital physiotherapist support; recruited from university hospital -&gt; PR offered after the month.</t>
  </si>
  <si>
    <t xml:space="preserve">NA -&gt; pedometer provided</t>
  </si>
  <si>
    <t xml:space="preserve">NA -&gt; probably so short it's not mentioned (just a pedometer)</t>
  </si>
  <si>
    <t xml:space="preserve">telemonitoring</t>
  </si>
  <si>
    <t xml:space="preserve">180</t>
  </si>
  <si>
    <t xml:space="preserve">540</t>
  </si>
  <si>
    <t xml:space="preserve">720</t>
  </si>
  <si>
    <t xml:space="preserve">65.35</t>
  </si>
  <si>
    <t xml:space="preserve">34.65</t>
  </si>
  <si>
    <t xml:space="preserve">35</t>
  </si>
  <si>
    <t xml:space="preserve">69</t>
  </si>
  <si>
    <t xml:space="preserve">8.3</t>
  </si>
  <si>
    <t xml:space="preserve">23.0</t>
  </si>
  <si>
    <t xml:space="preserve">5.0</t>
  </si>
  <si>
    <t xml:space="preserve">Current: 31.68%~Never: 0.99%~Ex-smoker: 67.33% -&gt; percentage correct, no n reported</t>
  </si>
  <si>
    <t xml:space="preserve">38.7</t>
  </si>
  <si>
    <t xml:space="preserve">14.1</t>
  </si>
  <si>
    <t xml:space="preserve">GOLD_stage: Moderate: 18.81%, Severe: 54.46%, Very severe: 26.73%~other: MRC dyspnea score median 4 (range 2-5)~HADS_anxiety_mean: 12.1~HADS_anxiety_sd: 4.4~HADS_depression_mean: 10.1~HADS_depression_sd: 3.6~SGRQ_total_mean: 52.0~SGRQ_total_sd: 18.6~LTOT_pct: 47.1%~other: LTOT n=33</t>
  </si>
  <si>
    <t xml:space="preserve">home-based telemonitoring with remote specialist support from hospital respiratory team</t>
  </si>
  <si>
    <t xml:space="preserve">Step 1 split: clinical responsibility lies with hospital specialists (suggests 2), but delivery is home-based (suggests 3). Step 2 provider type (hospital-employed respiratory nurses deliver monitoring) confirmed 2.</t>
  </si>
  <si>
    <t xml:space="preserve">home telemonitoring equipment (Tunstall) including pulse oximeter, heart rate monitor, lung function device, and weight scale</t>
  </si>
  <si>
    <t xml:space="preserve">instruction in use of TM equipment by respiratory nurse at home visit within 2 days after discharge</t>
  </si>
  <si>
    <t xml:space="preserve">patients could contact staff for additional information; study nurse contacted patients in case of irregularities or lack of measurements</t>
  </si>
  <si>
    <t xml:space="preserve">Lived alone: 47.52%~Lived with others: 52.48%  -&gt; percentage extracted correctly, n reported but not extracted. Only reported in text, unsure if it's inferred from civil status.</t>
  </si>
  <si>
    <t xml:space="preserve">Widow/widower: 17.82%~Single: 13.86%~Divorced: 15.84%~Married/Partner: 52.48%  -&gt; percentage extracted correctly, n reported but not extracted. </t>
  </si>
  <si>
    <t xml:space="preserve">{'prompt_version': 'v11', 'model': 'ds-flash', 'extracted_at': '2026-05-08T00:05:06.074543', 'study_info': {'n_arms': 2, 'arm_labels': ['telemonitoring', 'control']}}</t>
  </si>
  <si>
    <t xml:space="preserve">standard COPD treatment</t>
  </si>
  <si>
    <t xml:space="preserve">56.7</t>
  </si>
  <si>
    <t xml:space="preserve">43.3</t>
  </si>
  <si>
    <t xml:space="preserve">55</t>
  </si>
  <si>
    <t xml:space="preserve">42</t>
  </si>
  <si>
    <t xml:space="preserve">70</t>
  </si>
  <si>
    <t xml:space="preserve">7.8</t>
  </si>
  <si>
    <t xml:space="preserve">23.8</t>
  </si>
  <si>
    <t xml:space="preserve">6.3</t>
  </si>
  <si>
    <t xml:space="preserve">Current: 31.96%~Never: 1.03%~Ex-smoker: 67.01% -&gt; percentage correct, no n reported</t>
  </si>
  <si>
    <t xml:space="preserve">40.2</t>
  </si>
  <si>
    <t xml:space="preserve">15.1</t>
  </si>
  <si>
    <t xml:space="preserve">GOLD_stage: Moderate: 24.74%, Severe: 48.45%, Very severe: 26.80%~other: MRC dyspnea score median 4 (range 1-5)~HADS_anxiety_mean: 12.0~HADS_anxiety_sd: 4.3~HADS_depression_mean: 9.7~HADS_depression_sd: 3.4~SGRQ_total_mean: 52.4~SGRQ_total_sd: 21.2~LTOT_pct: 59.4%~other: LTOT n=38</t>
  </si>
  <si>
    <t xml:space="preserve">usual care with follow-up at pulmonary outpatient clinic</t>
  </si>
  <si>
    <t xml:space="preserve">high</t>
  </si>
  <si>
    <t xml:space="preserve">Lived alone: 28.87%~Lived with others: 71.13%  -&gt; percentage extracted correctly, n reported but not extracted. Only reported in text, unsure if it's inferred from civil status. </t>
  </si>
  <si>
    <t xml:space="preserve">Widow/widower: 15.46%~Single: 7.22%~Divorced: 6.19%~Married/Partner: 70.10%  -&gt; percentage extracted correctly, n reported but not extracted. </t>
  </si>
  <si>
    <t xml:space="preserve">Taking Healthy Steps (Internet-mediated, pedometer-based walking program)</t>
  </si>
  <si>
    <t xml:space="preserve">154 -&gt; correct from table 2, strictly ITT is 155</t>
  </si>
  <si>
    <t xml:space="preserve">365 -&gt; 120</t>
  </si>
  <si>
    <t xml:space="preserve">0 -&gt; 240</t>
  </si>
  <si>
    <t xml:space="preserve">365</t>
  </si>
  <si>
    <t xml:space="preserve">5.19</t>
  </si>
  <si>
    <t xml:space="preserve">94.81</t>
  </si>
  <si>
    <t xml:space="preserve">146</t>
  </si>
  <si>
    <t xml:space="preserve">67</t>
  </si>
  <si>
    <t xml:space="preserve">8.6</t>
  </si>
  <si>
    <t xml:space="preserve">Current: 26.62% -&gt; recalculated, more accurate than reported. No n extracted though.</t>
  </si>
  <si>
    <t xml:space="preserve">SGRQ_symptoms_mean: 57.2~SGRQ_symptoms_sd: 19.1~SGRQ_activity_mean: 62.3~SGRQ_activity_sd: 20.2~SGRQ_impact_mean: 32.2~SGRQ_impact_sd: 16.5~SGRQ_total_mean: 45.6~SGRQ_total_sd: 15.4~MMRC_distribution: 0-1: 70.13%, 2-4: 29.87%~oxygen_use_pct: 22.73%~baseline_daily_step_count_mean: 3488~baseline_daily_step_count_sd: 2316</t>
  </si>
  <si>
    <t xml:space="preserve">home-based, Internet-mediated walking program; no face-to-face encounters with staff; all features delivered via website</t>
  </si>
  <si>
    <t xml:space="preserve">Step 1: clinical responsibility not explicitly stated; delivery location is home-based (suggests 3). Step 2: no human provider delivers the intervention; all features are automated via website (confirms 3). Alternative: 1 if GP retained clinical responsibility, but not described.</t>
  </si>
  <si>
    <t xml:space="preserve">having access to a computer with an Internet connection, a USB port, and Windows XP, Vista, Windows 7, or Windows 8</t>
  </si>
  <si>
    <t xml:space="preserve">0 -&gt; 1</t>
  </si>
  <si>
    <t xml:space="preserve">detailed written instructions on how to install the Java software and upload pedometer data; research staff available by telephone to assist with software installation and upload of step counts</t>
  </si>
  <si>
    <t xml:space="preserve">research staff were available by telephone to assist with software installation and upload of step counts</t>
  </si>
  <si>
    <t xml:space="preserve">Urban: 53.90%~Rural: 46.10% -&gt; no n extracted</t>
  </si>
  <si>
    <t xml:space="preserve">Hispanic: 3.25%~Black: 4.55%~White: 92.21%~Other: 3.25%  -&gt; no n extracted</t>
  </si>
  <si>
    <t xml:space="preserve">{'prompt_version': 'v11', 'model': 'ds-flash', 'extracted_at': '2026-05-07T23:58:23.731895', 'study_info': {'n_arms': 2, 'arm_labels': ['Taking Healthy Steps', 'wait-list control']}}</t>
  </si>
  <si>
    <t xml:space="preserve">wait-list control (pedometer alone)</t>
  </si>
  <si>
    <t xml:space="preserve">8.33</t>
  </si>
  <si>
    <t xml:space="preserve">91.67</t>
  </si>
  <si>
    <t xml:space="preserve">77</t>
  </si>
  <si>
    <t xml:space="preserve">66.4</t>
  </si>
  <si>
    <t xml:space="preserve">9.2</t>
  </si>
  <si>
    <t xml:space="preserve">Current: 21.43% -&gt; recalculated, more accurate than reported. No n extracted though.</t>
  </si>
  <si>
    <t xml:space="preserve">SGRQ_symptoms_mean: 56~SGRQ_symptoms_sd: 19.9~SGRQ_activity_mean: 64.2~SGRQ_activity_sd: 18~SGRQ_impact_mean: 34.1~SGRQ_impact_sd: 17.9~SGRQ_total_mean: 46.8~SGRQ_total_sd: 15.6~MMRC_distribution: 0-1: 67.86%, 2-4: 32.14%~oxygen_use_pct: 25.00%~baseline_daily_step_count_mean: 3521~baseline_daily_step_count_sd: 2058</t>
  </si>
  <si>
    <t xml:space="preserve">home-based, pedometer-only; no face-to-face encounters with staff; all features delivered via website</t>
  </si>
  <si>
    <t xml:space="preserve">Urban: 55.95%~Rural: 44.05% -&gt; no n extracted</t>
  </si>
  <si>
    <t xml:space="preserve">Hispanic: 1.19%~Black: 3.57%~White: 94.05%~Other: 2.38%  -&gt; no n extracted</t>
  </si>
  <si>
    <t xml:space="preserve">MOBILE-Coached</t>
  </si>
  <si>
    <t xml:space="preserve">Tiebreaker rule 2 applied: MOBILE-C has more of the studied component (coaching/feedback) than MOBILE-SM, so MOBILE-SM is control.</t>
  </si>
  <si>
    <t xml:space="preserve">66.67</t>
  </si>
  <si>
    <t xml:space="preserve">33.33</t>
  </si>
  <si>
    <t xml:space="preserve">3</t>
  </si>
  <si>
    <t xml:space="preserve">72</t>
  </si>
  <si>
    <t xml:space="preserve">26.3</t>
  </si>
  <si>
    <t xml:space="preserve">5.5</t>
  </si>
  <si>
    <t xml:space="preserve">46.7</t>
  </si>
  <si>
    <t xml:space="preserve">18.7</t>
  </si>
  <si>
    <t xml:space="preserve">FEV1_FVC_ratio_mean: 0.48~FEV1_FVC_ratio_sd: 0.10~GOLD_stage: Stage 2: 33.33%, Stages 3 and 4: 66.67%~BODE_mean: 3.0~BODE_sd: 2.4~comorbid_any_pct: 66.67%~LTOT_pct: 55.56%~SGRQ_total_mean: 38.3~SGRQ_total_sd: 4.7~SF12_PCS_mean: 32.8~SF12_PCS_sd: 2.3~SF12_MCS_mean: 50.6~SF12_MCS_sd: 3.8~6MWD_mean: 1240~6MWD_sd: 125~steps_per_day_mean: 6692~steps_per_day_sd: 1007</t>
  </si>
  <si>
    <t xml:space="preserve">Participants were graduates of pulmonary rehabilitation programs; intervention was home-based with remote specialist (nurse) support from the research team at the University of Washington.</t>
  </si>
  <si>
    <t xml:space="preserve">Step 1 split: clinical responsibility not explicitly stated but likely hospital specialist (PR graduates, research team at university); delivery is home-based via cell phone (suggests 3). Step 2 provider type (nurse interventionist from research team) and recruitment source (PR programs) both suggest 2. Coded 2.</t>
  </si>
  <si>
    <t xml:space="preserve">PAM</t>
  </si>
  <si>
    <t xml:space="preserve">20.9</t>
  </si>
  <si>
    <t xml:space="preserve">SD 4.7</t>
  </si>
  <si>
    <t xml:space="preserve">unable or unwilling to use the study issued cell phone</t>
  </si>
  <si>
    <t xml:space="preserve">study-issued cell phone (Treo 650/700) with monthly data service plan provided</t>
  </si>
  <si>
    <t xml:space="preserve">trained on entering data via the cell phone, asked to provide a return demonstration, and given a step-by-step help booklet with screenshots</t>
  </si>
  <si>
    <t xml:space="preserve">phone number of research office for questions; technical difficulties tracked and resolved (e.g., instructions for reset, device exchange)</t>
  </si>
  <si>
    <t xml:space="preserve">Computer user: 7 (77.78%)</t>
  </si>
  <si>
    <t xml:space="preserve">Married/partnered: 2 (22.22%)</t>
  </si>
  <si>
    <t xml:space="preserve">College educated or higher: 6 (66.67%)~missing (inferred): 3</t>
  </si>
  <si>
    <t xml:space="preserve">Caucasian: 8 (88.89%)~African-American: 1 (11.11%)</t>
  </si>
  <si>
    <t xml:space="preserve">{'prompt_version': 'v11', 'model': 'ds-flash', 'extracted_at': '2026-05-08T00:00:29.105578', 'study_info': {'n_arms': 2, 'arm_labels': ['MOBILE-Coached', 'MOBILE-Self-Monitored']}}</t>
  </si>
  <si>
    <t xml:space="preserve">MOBILE-Self-Monitored</t>
  </si>
  <si>
    <t xml:space="preserve">Tiebreaker rule 2 applied: MOBILE-SM has less of the studied component (no coaching/feedback) than MOBILE-C, so it is the control.</t>
  </si>
  <si>
    <t xml:space="preserve">62.5</t>
  </si>
  <si>
    <t xml:space="preserve">37.5</t>
  </si>
  <si>
    <t xml:space="preserve">64</t>
  </si>
  <si>
    <t xml:space="preserve">12</t>
  </si>
  <si>
    <t xml:space="preserve">25.0</t>
  </si>
  <si>
    <t xml:space="preserve">34.4</t>
  </si>
  <si>
    <t xml:space="preserve">15</t>
  </si>
  <si>
    <t xml:space="preserve">FEV1_FVC_ratio_mean: 0.39~FEV1_FVC_ratio_sd: 0.12~GOLD_stage: Stage 2: 25.00%, Stages 3 and 4: 75.00%~BODE_mean: 3.7~BODE_sd: 1.3~comorbid_any_pct: 62.50%~LTOT_pct: 62.50%~SGRQ_total_mean: 50.7~SGRQ_total_sd: 5.0~SF12_PCS_mean: 31.4~SF12_PCS_sd: 2.4~SF12_MCS_mean: 54.2~SF12_MCS_sd: 4.1~6MWD_mean: 1200~6MWD_sd: 133~steps_per_day_mean: 5229~steps_per_day_sd: 1068</t>
  </si>
  <si>
    <t xml:space="preserve">2 -&gt; 3</t>
  </si>
  <si>
    <t xml:space="preserve">Participants were graduates of pulmonary rehabilitation programs; intervention was home-based with remote support from the research team at the University of Washington. -&gt; WRONG! Self minitored!</t>
  </si>
  <si>
    <t xml:space="preserve">20.5</t>
  </si>
  <si>
    <t xml:space="preserve">SD 4.4</t>
  </si>
  <si>
    <t xml:space="preserve">Computer user: 8 (100.00%)</t>
  </si>
  <si>
    <t xml:space="preserve">Married/partnered: 3 (37.50%)</t>
  </si>
  <si>
    <t xml:space="preserve">College educated or higher: 7 (87.50%)~missing (inferred): 1</t>
  </si>
  <si>
    <t xml:space="preserve">Caucasian: 6 (75.00%)~African-American: 2 (25.00%)</t>
  </si>
  <si>
    <t xml:space="preserve">58.59</t>
  </si>
  <si>
    <t xml:space="preserve">41.41</t>
  </si>
  <si>
    <t xml:space="preserve">75</t>
  </si>
  <si>
    <t xml:space="preserve">53</t>
  </si>
  <si>
    <t xml:space="preserve">69.4</t>
  </si>
  <si>
    <t xml:space="preserve">8.8</t>
  </si>
  <si>
    <t xml:space="preserve">Never smoked: 2 (1.56%)~Ex-smoker: 89 (69.53%)~Current smoker: 37 (28.91%)</t>
  </si>
  <si>
    <t xml:space="preserve">44.0</t>
  </si>
  <si>
    <t xml:space="preserve">18.8</t>
  </si>
  <si>
    <t xml:space="preserve">GOLD_stage: Mild/moderate: 46, Severe: 45, Very severe: 37~MRC_distribution: 1: 4 (3.15%), 2: 23 (18.11%), 3: 31 (24.41%), 4: 24 (18.90%), 5: 45 (35.43%)~comorbid_one_or_more_pct: 78 (60.94%)~hospitalizations_prior_year_mean: 2.3~hospitalizations_prior_year_sd: 2.1~SGRQ_total_mean: 68.6~SGRQ_total_sd: 16.6~HADS_anxiety_mean: 9.8~HADS_anxiety_sd: 5.2~HADS_depression_mean: 8.9~HADS_depression_sd: 4.4~other: SECD6 mean 5.0 (SD 2.2)~other: MARS mean 24.0 (SD 2.1)~other: LINQ mean 7.8 (SD 3.3)</t>
  </si>
  <si>
    <t xml:space="preserve">home-based telemonitoring with remote specialist support from hospital-based clinical teams (Edinburgh Community Respiratory Team, Midlothian nurses, or GP practices)</t>
  </si>
  <si>
    <t xml:space="preserve">Step 1 split: clinical responsibility lies with hospital specialist teams or GP (suggests 2 or 1), but delivery is fully home-based via telemonitoring equipment (suggests 3). Step 2 provider type (hospital-employed respiratory team/nurse specialists deliver remote monitoring) confirmed 2.</t>
  </si>
  <si>
    <t xml:space="preserve">SECD6</t>
  </si>
  <si>
    <t xml:space="preserve">SD 2.2</t>
  </si>
  <si>
    <t xml:space="preserve">unable to use the technology</t>
  </si>
  <si>
    <t xml:space="preserve">touch screen telemonitoring equipment, pulse oximeter, and secure broadband link installed in participant's home</t>
  </si>
  <si>
    <t xml:space="preserve">clinical team visited participant at home to explain how to use the technology</t>
  </si>
  <si>
    <t xml:space="preserve">participants had access to technological advice and support throughout the trial</t>
  </si>
  <si>
    <t xml:space="preserve">TRUE -&gt; probably (correctly) triggered on SMID, but there is no general SES or SES_other field.</t>
  </si>
  <si>
    <t xml:space="preserve">{'prompt_version': 'v11', 'model': 'ds-flash', 'extracted_at': '2026-05-08T00:02:42.271981', 'study_info': {'n_arms': 2, 'arm_labels': ['telemonitoring', 'control']}}</t>
  </si>
  <si>
    <t xml:space="preserve">50.78</t>
  </si>
  <si>
    <t xml:space="preserve">49.22</t>
  </si>
  <si>
    <t xml:space="preserve">65</t>
  </si>
  <si>
    <t xml:space="preserve">63</t>
  </si>
  <si>
    <t xml:space="preserve">68.4</t>
  </si>
  <si>
    <t xml:space="preserve">8.4</t>
  </si>
  <si>
    <t xml:space="preserve">Never smoked: 0 (0.00%)~Ex-smoker: 98 (76.56%)~Current smoker: 30 (23.44%)</t>
  </si>
  <si>
    <t xml:space="preserve">17.0</t>
  </si>
  <si>
    <t xml:space="preserve">GOLD_stage: Mild/moderate: 42, Severe: 42, Very severe: 44~MRC_distribution: 1: 1 (0.78%), 2: 26 (20.31%), 3: 27 (21.09%), 4: 31 (24.22%), 5: 43 (33.59%)~comorbid_one_or_more_pct: 91 (71.09%)~hospitalizations_prior_year_mean: 2.5~hospitalizations_prior_year_sd: 2.6~SGRQ_total_mean: 68.8~SGRQ_total_sd: 15.2~HADS_anxiety_mean: 9.6~HADS_anxiety_sd: 4.6~HADS_depression_mean: 8.2~HADS_depression_sd: 4.1~other: SECD6 mean 5.2 (SD 2.3)~other: MARS mean 23.8 (SD 1.8)~other: LINQ mean 7.8 (SD 3.4)</t>
  </si>
  <si>
    <t xml:space="preserve">usual care delivered by hospital-based clinical teams (Edinburgh Community Respiratory Team, Midlothian nurses) or GP practices; participants recruited from hospital and primary care</t>
  </si>
  <si>
    <t xml:space="preserve">Step 1: clinical responsibility lies with hospital specialist teams or GP (suggests 2 or 1), delivery location is not explicitly described for control group. Step 2: recruitment from hospital and primary care, and the control group received the same clinical care as the intervention group (which was hospital/GP-led), confirming 2.</t>
  </si>
  <si>
    <t xml:space="preserve">5.2</t>
  </si>
  <si>
    <t xml:space="preserve">SD 2.3</t>
  </si>
  <si>
    <t xml:space="preserve">telehealth intervention (TH)</t>
  </si>
  <si>
    <t xml:space="preserve">NA -&gt; treat = FU</t>
  </si>
  <si>
    <t xml:space="preserve">43.71</t>
  </si>
  <si>
    <t xml:space="preserve">56.29</t>
  </si>
  <si>
    <t xml:space="preserve">188</t>
  </si>
  <si>
    <t xml:space="preserve">71.49</t>
  </si>
  <si>
    <t xml:space="preserve">0.506</t>
  </si>
  <si>
    <t xml:space="preserve">home-based telehealth intervention with remote monitoring by healthcare professionals; clinical responsibility held by GP practice (recruited from 121 General Practices)</t>
  </si>
  <si>
    <t xml:space="preserve">Step 1 split: clinical responsibility lies with GP practice (suggests 1), but delivery is home-based via telehealth equipment (suggests 3). Step 2 provider type (monitoring centre health-care professionals review data and trigger responses) and recruitment source (GP practices) confirmed 1.</t>
  </si>
  <si>
    <t xml:space="preserve">landline telephone and broadband internet connection required; sufficient cognitive capacity and English language skills to complete a self-reported questionnaire</t>
  </si>
  <si>
    <t xml:space="preserve">pulse oximeter, blood pressure monitor, weight scales, additional peripherals (e.g., glucometer), home monitoring system with base unit or set-top box</t>
  </si>
  <si>
    <t xml:space="preserve">data transmitted to monitoring centre reviewed by health-care professionals; appropriate response triggered (e.g., repeat reading, contact participant, arrange home visit, refer to other service)</t>
  </si>
  <si>
    <t xml:space="preserve">TRUE -&gt; deprivation score reported, not caught by extraction because of missing field.</t>
  </si>
  <si>
    <t xml:space="preserve">NA -&gt; reported as "Level of education" - avg decimal where: 1=GCSE/Olevel, 2= Alevel/HNC, 3=uni, 4=grad</t>
  </si>
  <si>
    <t xml:space="preserve">Non-White: 3.89%~White British/Irish: 96.11% -&gt; no n extracted.</t>
  </si>
  <si>
    <t xml:space="preserve">{'prompt_version': 'v11', 'model': 'ds-flash', 'extracted_at': '2026-05-08T00:01:24.760176', 'study_info': {'n_arms': 2, 'arm_labels': ['telehealth intervention', 'standard care']}}</t>
  </si>
  <si>
    <t xml:space="preserve">standard care (usual care)</t>
  </si>
  <si>
    <t xml:space="preserve">43.44</t>
  </si>
  <si>
    <t xml:space="preserve">56.56</t>
  </si>
  <si>
    <t xml:space="preserve">106</t>
  </si>
  <si>
    <t xml:space="preserve">138</t>
  </si>
  <si>
    <t xml:space="preserve">72.22</t>
  </si>
  <si>
    <t xml:space="preserve">0.592</t>
  </si>
  <si>
    <t xml:space="preserve">standard care delivered at recruitment site (GP practice); participants recruited from 121 General Practices</t>
  </si>
  <si>
    <t xml:space="preserve">Only recruitment source (GP practices) available as signal; no explicit description of control setting. Step 1: clinical responsibility likely GP (suggests 1), delivery location not described. Step 2: recruitment from GP practices confirmed 1.</t>
  </si>
  <si>
    <t xml:space="preserve">Non-White: 4.10%~White British/Irish: 95.90% -&gt; no n extracted.</t>
  </si>
  <si>
    <t xml:space="preserve">self-monitoring group</t>
  </si>
  <si>
    <t xml:space="preserve">182</t>
  </si>
  <si>
    <t xml:space="preserve">43.9</t>
  </si>
  <si>
    <t xml:space="preserve">56.1</t>
  </si>
  <si>
    <t xml:space="preserve">23</t>
  </si>
  <si>
    <t xml:space="preserve">71.76</t>
  </si>
  <si>
    <t xml:space="preserve">7.28</t>
  </si>
  <si>
    <t xml:space="preserve">Median 28.10, MAD 4.15</t>
  </si>
  <si>
    <t xml:space="preserve">129.9</t>
  </si>
  <si>
    <t xml:space="preserve">75.37</t>
  </si>
  <si>
    <t xml:space="preserve">10.63</t>
  </si>
  <si>
    <t xml:space="preserve">Currently smoking: 12%~Never smoked: 11% -&gt; no imputed missing? Also N not extracted.</t>
  </si>
  <si>
    <t xml:space="preserve">Years since quitting: median 15, MAD 10.38 (n=31)</t>
  </si>
  <si>
    <t xml:space="preserve">Median 0.53, MAD 0.13</t>
  </si>
  <si>
    <t xml:space="preserve">disease_duration_years_median: 4.5~disease_duration_years_mad: 5.19~FEV1_L_median: 1.26~FEV1_L_mad: 0.67~FEV1_FVC_ratio_median: 0.58~FEV1_FVC_ratio_mad: 0.16~CAT_mean: 15.54~CAT_sd: 7.65~exacerbations_prior_year_median: 1~exacerbations_prior_year_mad: 1.48~ED_visits_prior_year_median: 0~ED_visits_prior_year_mad: 0~hospitalizations_prior_year_median: 0~hospitalizations_prior_year_mad: 0~GP_visits_prior_year_median: 1~GP_visits_prior_year_mad: 1.48~other: Never been in exercise/rehabilitation: 68%~other: Never used technology: 78%~other: No medications on hold: 59%</t>
  </si>
  <si>
    <t xml:space="preserve">home-based self-monitoring with hospital-based RT oversight; clinical responsibility lies with hospital respirologist/RT</t>
  </si>
  <si>
    <t xml:space="preserve">Step 1 split: clinical responsibility lies with hospital specialist (suggests 2), but delivery is home-based via kit (suggests 3). Step 2 provider type (hospital-employed RT provides training and monitoring) confirmed 2.</t>
  </si>
  <si>
    <t xml:space="preserve">patients without Wi-Fi internet access in their homes; inability to use the technology because of physical or cognitive impairment</t>
  </si>
  <si>
    <t xml:space="preserve">Cloud DX Connected Health Kit including tablet, Pulsewave wrist cuff monitor, oximeter, weighing scale, and thermometer</t>
  </si>
  <si>
    <t xml:space="preserve">option to email or call clinic with nonemergency questions; Cloud DX staff monitored extreme levels and contacted patients; regular bug fixes throughout trial</t>
  </si>
  <si>
    <t xml:space="preserve">Never used technology: 78% -&gt; no n extracted</t>
  </si>
  <si>
    <t xml:space="preserve">TRUE -&gt; not sure what it triggered on. SES_other missing. Maybe patients with caregiver, could be inferred participant is not living alone.</t>
  </si>
  <si>
    <t xml:space="preserve">{'prompt_version': 'v11', 'model': 'ds-flash', 'extracted_at': '2026-05-08T00:13:03.910172'}</t>
  </si>
  <si>
    <t xml:space="preserve">treat2</t>
  </si>
  <si>
    <t xml:space="preserve">remote monitoring group</t>
  </si>
  <si>
    <t xml:space="preserve">71.98</t>
  </si>
  <si>
    <t xml:space="preserve">9.52</t>
  </si>
  <si>
    <t xml:space="preserve">Median 23.40, MAD 6.52</t>
  </si>
  <si>
    <t xml:space="preserve">125.65</t>
  </si>
  <si>
    <t xml:space="preserve">17.34</t>
  </si>
  <si>
    <t xml:space="preserve">74.48</t>
  </si>
  <si>
    <t xml:space="preserve">8.83</t>
  </si>
  <si>
    <t xml:space="preserve">Currently smoking: 24%~Never smoked: 23% -&gt; no imputed missing? Also N not extracted.</t>
  </si>
  <si>
    <t xml:space="preserve">Years since quitting: median 13, MAD 11.86 (n=24)</t>
  </si>
  <si>
    <t xml:space="preserve">Median 0.50, MAD 0.25</t>
  </si>
  <si>
    <t xml:space="preserve">disease_duration_years_median: 7~disease_duration_years_mad: 4.45~FEV1_L_median: 1.17~FEV1_L_mad: 0.43~FEV1_FVC_ratio_median: 0.54~FEV1_FVC_ratio_mad: 0.19~CAT_mean: 19.15~CAT_sd: 8.18~exacerbations_prior_year_median: 2~exacerbations_prior_year_mad: 2.97~ED_visits_prior_year_median: 0~ED_visits_prior_year_mad: 0~hospitalizations_prior_year_median: 0~hospitalizations_prior_year_mad: 0~GP_visits_prior_year_median: 1~GP_visits_prior_year_mad: 1.48~other: Never been in exercise/rehabilitation: 80%~other: Never used technology: 85%~other: No medications on hold: 63%</t>
  </si>
  <si>
    <t xml:space="preserve">home-based remote monitoring with active hospital-based RT monitoring and weekly calls; clinical responsibility lies with hospital respirologist/RT</t>
  </si>
  <si>
    <t xml:space="preserve">Step 1 split: clinical responsibility lies with hospital specialist (suggests 2), but delivery is home-based via kit (suggests 3). Step 2 provider type (hospital-employed RT provides active monitoring and calls) confirmed 2.</t>
  </si>
  <si>
    <t xml:space="preserve">Never used technology: 85% -&gt; no n extracted</t>
  </si>
  <si>
    <t xml:space="preserve">standard care</t>
  </si>
  <si>
    <t xml:space="preserve">47.5</t>
  </si>
  <si>
    <t xml:space="preserve">52.5</t>
  </si>
  <si>
    <t xml:space="preserve">19</t>
  </si>
  <si>
    <t xml:space="preserve">21</t>
  </si>
  <si>
    <t xml:space="preserve">72.78</t>
  </si>
  <si>
    <t xml:space="preserve">9.16</t>
  </si>
  <si>
    <t xml:space="preserve">Median 24.65, MAD 6.67</t>
  </si>
  <si>
    <t xml:space="preserve">129.36</t>
  </si>
  <si>
    <t xml:space="preserve">15.86</t>
  </si>
  <si>
    <t xml:space="preserve">76.76</t>
  </si>
  <si>
    <t xml:space="preserve">7.55</t>
  </si>
  <si>
    <t xml:space="preserve">Currently smoking: 23%~Never smoked: 3% -&gt; no imputed missing? Also N not extracted.</t>
  </si>
  <si>
    <t xml:space="preserve">Years since quitting: median 15, MAD 17.79 (n=29)</t>
  </si>
  <si>
    <t xml:space="preserve">Median 0.45, MAD 0.22</t>
  </si>
  <si>
    <t xml:space="preserve">disease_duration_years_median: 4~disease_duration_years_mad: 3.71~FEV1_L_median: 1.09~FEV1_L_mad: 0.47~FEV1_FVC_ratio_median: 0.56~FEV1_FVC_ratio_mad: 0.18~CAT_mean: 20.42~CAT_sd: 7.68~exacerbations_prior_year_median: 1~exacerbations_prior_year_mad: 1.48~ED_visits_prior_year_median: 0~ED_visits_prior_year_mad: 0~hospitalizations_prior_year_median: 0~hospitalizations_prior_year_mad: 0~GP_visits_prior_year_median: 1.5~GP_visits_prior_year_mad: 2.22~other: Never been in exercise/rehabilitation: 58%~other: Never used technology: 68%~other: No medications on hold: 63%</t>
  </si>
  <si>
    <t xml:space="preserve">standard care at hospital-based respiratory clinic</t>
  </si>
  <si>
    <t xml:space="preserve">Never used technology: 68% -&gt; no n extracted</t>
  </si>
  <si>
    <t xml:space="preserve">telerehabilitation intervention (activity coach + web portal) added to usual care</t>
  </si>
  <si>
    <t xml:space="preserve">14 -&gt; table 1 reports this, technically ITT is 15</t>
  </si>
  <si>
    <t xml:space="preserve">28</t>
  </si>
  <si>
    <t xml:space="preserve">42.86</t>
  </si>
  <si>
    <t xml:space="preserve">57.14</t>
  </si>
  <si>
    <t xml:space="preserve">65.2</t>
  </si>
  <si>
    <t xml:space="preserve">9.0</t>
  </si>
  <si>
    <t xml:space="preserve">28.4</t>
  </si>
  <si>
    <t xml:space="preserve">Current: 1 (7.14%)~Former: 13 (92.86%)</t>
  </si>
  <si>
    <t xml:space="preserve">48.7</t>
  </si>
  <si>
    <t xml:space="preserve">16.7</t>
  </si>
  <si>
    <t xml:space="preserve">MRC_mean: 2.0~MRC_sd: 0.9~CCQ_total_mean: 2.0~CCQ_total_sd: 0.8~other: MFI general fatigue: 12.5 (SD 4.0)~other: MFI physical fatigue: 13.1 (SD 3.7)~other: MFI reduced activity: 9.9 (SD 3.7)~other: MFI reduced motivation: 9.0 (SD 3.8)~other: MFI mental fatigue: 6.8 (SD 3.2)~other: Physiotherapy at baseline: 11 (78.57%)</t>
  </si>
  <si>
    <t xml:space="preserve">Home-based telerehabilitation (activity coach and web portal) with clinical responsibility under chest physician; usual care includes physiotherapy at local practices</t>
  </si>
  <si>
    <t xml:space="preserve">Step 1 split: clinical responsibility lies with chest physician (suggests 2), delivery is home-based (suggests 3). Step 2b recruitment from chest physician confirmed 2.</t>
  </si>
  <si>
    <t xml:space="preserve">internet access at home required</t>
  </si>
  <si>
    <t xml:space="preserve">NA -&gt; “The activity coach consisted of a three-dimensional-accelerometer (MTx-W sensor, Xsens Technologies, Enschede, The Netherlands) and a smartphone”</t>
  </si>
  <si>
    <t xml:space="preserve">two 90-minute self-management sessions to learn how to complete the daily diary on the web portal</t>
  </si>
  <si>
    <t xml:space="preserve">Employed: 4 (28.57%)~Unemployed: 10 (71.43%)</t>
  </si>
  <si>
    <t xml:space="preserve">{'prompt_version': 'v11', 'model': 'ds-flash', 'extracted_at': '2026-05-08T00:03:54.222270', 'study_info': {'n_arms': 2, 'arm_labels': ['intervention', 'control']}}</t>
  </si>
  <si>
    <t xml:space="preserve">usual care (medication and physiotherapy)</t>
  </si>
  <si>
    <t xml:space="preserve">31.25</t>
  </si>
  <si>
    <t xml:space="preserve">68.75</t>
  </si>
  <si>
    <t xml:space="preserve">11</t>
  </si>
  <si>
    <t xml:space="preserve">67.9</t>
  </si>
  <si>
    <t xml:space="preserve">5.7</t>
  </si>
  <si>
    <t xml:space="preserve">29.2</t>
  </si>
  <si>
    <t xml:space="preserve">4.7</t>
  </si>
  <si>
    <t xml:space="preserve">Current: 3 (18.75%)~Former: 13 (81.25%)</t>
  </si>
  <si>
    <t xml:space="preserve">56.4</t>
  </si>
  <si>
    <t xml:space="preserve">10.6</t>
  </si>
  <si>
    <t xml:space="preserve">MRC_mean: 2.3~MRC_sd: 1.4~CCQ_total_mean: 1.8~CCQ_total_sd: 1.0~other: MFI general fatigue: 11.6 (SD 4.4)~other: MFI physical fatigue: 11.6 (SD 3.5)~other: MFI reduced activity: 9.9 (SD 4.0)~other: MFI reduced motivation: 9.3 (SD 3.4)~other: MFI mental fatigue: 6.6 (SD 3.8)~other: Physiotherapy at baseline: 13 (81.25%)</t>
  </si>
  <si>
    <t xml:space="preserve">Usual care includes medication and physiotherapy at local physiotherapy practices; clinical responsibility under chest physician</t>
  </si>
  <si>
    <t xml:space="preserve">Step 1 split: clinical responsibility lies with chest physician (suggests 2), delivery location is local physiotherapy practices (suggests 1 or 3). Step 2b recruitment from chest physician confirmed 2.</t>
  </si>
  <si>
    <t xml:space="preserve">Employed: 3 (18.75%)~Unemployed: 13 (81.25%)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</si>
</sst>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6100"/>
      <name val="Calibri"/>
      <family val="2"/>
      <charset val="1"/>
    </font>
    <font>
      <sz val="11"/>
      <color theme="0"/>
      <name val="Calibri"/>
      <family val="2"/>
      <charset val="1"/>
    </font>
    <font>
      <sz val="11"/>
      <color rgb="FF9C5700"/>
      <name val="Calibri"/>
      <family val="2"/>
      <charset val="1"/>
    </font>
    <font>
      <sz val="11"/>
      <color rgb="FF9C0006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theme="9"/>
        <bgColor rgb="FF339966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FEB9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3" borderId="0" applyFont="true" applyBorder="false" applyAlignment="true" applyProtection="false">
      <alignment horizontal="general" vertical="bottom" textRotation="0" wrapText="false" indent="0" shrinkToFit="false"/>
    </xf>
    <xf numFmtId="164" fontId="6" fillId="4" borderId="0" applyFont="true" applyBorder="false" applyAlignment="true" applyProtection="false">
      <alignment horizontal="general" vertical="bottom" textRotation="0" wrapText="false" indent="0" shrinkToFit="false"/>
    </xf>
    <xf numFmtId="164" fontId="7" fillId="5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2" xfId="21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Good" xfId="20"/>
    <cellStyle name="Excel Built-in Accent6" xfId="21"/>
    <cellStyle name="Excel Built-in Neutral" xfId="22"/>
    <cellStyle name="Excel Built-in Bad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2B2B2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R22"/>
  <sheetViews>
    <sheetView showFormulas="false" showGridLines="true" showRowColHeaders="true" showZeros="true" rightToLeft="false" tabSelected="true" showOutlineSymbols="true" defaultGridColor="true" view="normal" topLeftCell="AS1" colorId="64" zoomScale="100" zoomScaleNormal="100" zoomScalePageLayoutView="100" workbookViewId="0">
      <pane xSplit="0" ySplit="1" topLeftCell="A2" activePane="bottomLeft" state="frozen"/>
      <selection pane="topLeft" activeCell="AS1" activeCellId="0" sqref="AS1"/>
      <selection pane="bottomLeft" activeCell="BQ16" activeCellId="0" sqref="BQ16"/>
    </sheetView>
  </sheetViews>
  <sheetFormatPr defaultColWidth="8.59765625" defaultRowHeight="15" customHeight="false" zeroHeight="false" outlineLevelRow="0" outlineLevelCol="0"/>
  <cols>
    <col collapsed="false" customWidth="true" hidden="false" outlineLevel="0" max="3" min="3" style="0" width="12.14"/>
  </cols>
  <sheetData>
    <row r="1" customFormat="false" ht="12.75" hidden="false" customHeight="tru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</row>
    <row r="2" customFormat="false" ht="15" hidden="false" customHeight="false" outlineLevel="0" collapsed="false">
      <c r="A2" s="1" t="n">
        <v>469</v>
      </c>
      <c r="B2" s="1" t="s">
        <v>70</v>
      </c>
      <c r="C2" s="1" t="s">
        <v>71</v>
      </c>
      <c r="D2" s="1" t="b">
        <f aca="false">FALSE()</f>
        <v>0</v>
      </c>
      <c r="E2" s="1" t="s">
        <v>72</v>
      </c>
      <c r="F2" s="1" t="n">
        <v>188</v>
      </c>
      <c r="G2" s="1" t="s">
        <v>73</v>
      </c>
      <c r="H2" s="1" t="s">
        <v>73</v>
      </c>
      <c r="I2" s="1" t="s">
        <v>74</v>
      </c>
      <c r="J2" s="1" t="b">
        <f aca="false">FALSE()</f>
        <v>0</v>
      </c>
      <c r="K2" s="1" t="s">
        <v>72</v>
      </c>
      <c r="L2" s="1" t="s">
        <v>75</v>
      </c>
      <c r="M2" s="2" t="s">
        <v>76</v>
      </c>
      <c r="N2" s="2" t="s">
        <v>77</v>
      </c>
      <c r="O2" s="1" t="s">
        <v>78</v>
      </c>
      <c r="P2" s="2" t="s">
        <v>79</v>
      </c>
      <c r="Q2" s="1" t="b">
        <f aca="false">FALSE()</f>
        <v>0</v>
      </c>
      <c r="R2" s="1" t="s">
        <v>72</v>
      </c>
      <c r="S2" s="1" t="s">
        <v>80</v>
      </c>
      <c r="T2" s="1" t="s">
        <v>81</v>
      </c>
      <c r="U2" s="1" t="s">
        <v>72</v>
      </c>
      <c r="V2" s="1" t="s">
        <v>72</v>
      </c>
      <c r="W2" s="1" t="s">
        <v>82</v>
      </c>
      <c r="X2" s="1" t="s">
        <v>83</v>
      </c>
      <c r="Y2" s="1" t="s">
        <v>72</v>
      </c>
      <c r="Z2" s="1" t="s">
        <v>72</v>
      </c>
      <c r="AA2" s="1" t="s">
        <v>72</v>
      </c>
      <c r="AB2" s="1" t="s">
        <v>72</v>
      </c>
      <c r="AC2" s="1" t="s">
        <v>72</v>
      </c>
      <c r="AD2" s="1" t="s">
        <v>72</v>
      </c>
      <c r="AE2" s="3" t="s">
        <v>84</v>
      </c>
      <c r="AF2" s="1" t="s">
        <v>72</v>
      </c>
      <c r="AG2" s="1" t="s">
        <v>72</v>
      </c>
      <c r="AH2" s="1" t="s">
        <v>72</v>
      </c>
      <c r="AI2" s="1" t="s">
        <v>72</v>
      </c>
      <c r="AJ2" s="1" t="s">
        <v>85</v>
      </c>
      <c r="AK2" s="1" t="s">
        <v>86</v>
      </c>
      <c r="AL2" s="1" t="s">
        <v>72</v>
      </c>
      <c r="AM2" s="0" t="s">
        <v>87</v>
      </c>
      <c r="AN2" s="1" t="n">
        <v>2</v>
      </c>
      <c r="AO2" s="1" t="s">
        <v>88</v>
      </c>
      <c r="AP2" s="1" t="s">
        <v>89</v>
      </c>
      <c r="AQ2" s="1" t="s">
        <v>90</v>
      </c>
      <c r="AR2" s="1" t="n">
        <v>0</v>
      </c>
      <c r="AS2" s="1" t="s">
        <v>72</v>
      </c>
      <c r="AT2" s="1" t="s">
        <v>72</v>
      </c>
      <c r="AU2" s="1" t="s">
        <v>72</v>
      </c>
      <c r="AV2" s="1" t="n">
        <v>0</v>
      </c>
      <c r="AW2" s="1" t="s">
        <v>72</v>
      </c>
      <c r="AX2" s="1" t="n">
        <v>1</v>
      </c>
      <c r="AY2" s="1" t="s">
        <v>91</v>
      </c>
      <c r="AZ2" s="1" t="b">
        <f aca="false">FALSE()</f>
        <v>0</v>
      </c>
      <c r="BA2" s="1" t="s">
        <v>72</v>
      </c>
      <c r="BB2" s="1" t="n">
        <v>0</v>
      </c>
      <c r="BC2" s="1" t="s">
        <v>72</v>
      </c>
      <c r="BD2" s="1" t="n">
        <v>0</v>
      </c>
      <c r="BE2" s="1" t="s">
        <v>72</v>
      </c>
      <c r="BF2" s="1" t="b">
        <f aca="false">FALSE()</f>
        <v>0</v>
      </c>
      <c r="BG2" s="1" t="s">
        <v>72</v>
      </c>
      <c r="BH2" s="1" t="s">
        <v>72</v>
      </c>
      <c r="BI2" s="1" t="s">
        <v>72</v>
      </c>
      <c r="BJ2" s="1" t="b">
        <f aca="false">TRUE()</f>
        <v>1</v>
      </c>
      <c r="BK2" s="3" t="s">
        <v>92</v>
      </c>
      <c r="BL2" s="3" t="s">
        <v>93</v>
      </c>
      <c r="BM2" s="3" t="s">
        <v>94</v>
      </c>
      <c r="BN2" s="1" t="s">
        <v>72</v>
      </c>
      <c r="BO2" s="1" t="s">
        <v>72</v>
      </c>
      <c r="BP2" s="3" t="s">
        <v>95</v>
      </c>
      <c r="BQ2" s="3" t="s">
        <v>96</v>
      </c>
      <c r="BR2" s="0" t="s">
        <v>97</v>
      </c>
    </row>
    <row r="3" customFormat="false" ht="15" hidden="false" customHeight="false" outlineLevel="0" collapsed="false">
      <c r="A3" s="1" t="n">
        <v>469</v>
      </c>
      <c r="B3" s="1" t="s">
        <v>98</v>
      </c>
      <c r="C3" s="3" t="s">
        <v>99</v>
      </c>
      <c r="D3" s="1" t="b">
        <f aca="false">FALSE()</f>
        <v>0</v>
      </c>
      <c r="E3" s="1" t="s">
        <v>72</v>
      </c>
      <c r="F3" s="1" t="n">
        <v>187</v>
      </c>
      <c r="G3" s="1" t="s">
        <v>73</v>
      </c>
      <c r="H3" s="1" t="s">
        <v>73</v>
      </c>
      <c r="I3" s="1" t="s">
        <v>74</v>
      </c>
      <c r="J3" s="1" t="b">
        <f aca="false">FALSE()</f>
        <v>0</v>
      </c>
      <c r="K3" s="1" t="s">
        <v>72</v>
      </c>
      <c r="L3" s="1" t="s">
        <v>75</v>
      </c>
      <c r="M3" s="2" t="s">
        <v>100</v>
      </c>
      <c r="N3" s="2" t="s">
        <v>101</v>
      </c>
      <c r="O3" s="1" t="s">
        <v>102</v>
      </c>
      <c r="P3" s="2" t="s">
        <v>103</v>
      </c>
      <c r="Q3" s="1" t="b">
        <f aca="false">FALSE()</f>
        <v>0</v>
      </c>
      <c r="R3" s="1" t="s">
        <v>72</v>
      </c>
      <c r="S3" s="1" t="s">
        <v>104</v>
      </c>
      <c r="T3" s="1" t="s">
        <v>81</v>
      </c>
      <c r="U3" s="1" t="s">
        <v>72</v>
      </c>
      <c r="V3" s="1" t="s">
        <v>72</v>
      </c>
      <c r="W3" s="1" t="s">
        <v>105</v>
      </c>
      <c r="X3" s="1" t="s">
        <v>106</v>
      </c>
      <c r="Y3" s="1" t="s">
        <v>72</v>
      </c>
      <c r="Z3" s="1" t="s">
        <v>72</v>
      </c>
      <c r="AA3" s="1" t="s">
        <v>72</v>
      </c>
      <c r="AB3" s="1" t="s">
        <v>72</v>
      </c>
      <c r="AC3" s="1" t="s">
        <v>72</v>
      </c>
      <c r="AD3" s="1" t="s">
        <v>72</v>
      </c>
      <c r="AE3" s="3" t="s">
        <v>107</v>
      </c>
      <c r="AF3" s="1" t="s">
        <v>72</v>
      </c>
      <c r="AG3" s="1" t="s">
        <v>72</v>
      </c>
      <c r="AH3" s="1" t="s">
        <v>72</v>
      </c>
      <c r="AI3" s="1" t="s">
        <v>72</v>
      </c>
      <c r="AJ3" s="1" t="s">
        <v>108</v>
      </c>
      <c r="AK3" s="1" t="s">
        <v>109</v>
      </c>
      <c r="AL3" s="1" t="s">
        <v>72</v>
      </c>
      <c r="AM3" s="0" t="s">
        <v>110</v>
      </c>
      <c r="AN3" s="1" t="n">
        <v>2</v>
      </c>
      <c r="AO3" s="1" t="s">
        <v>111</v>
      </c>
      <c r="AP3" s="1" t="s">
        <v>89</v>
      </c>
      <c r="AQ3" s="1" t="s">
        <v>112</v>
      </c>
      <c r="AR3" s="1" t="n">
        <v>0</v>
      </c>
      <c r="AS3" s="1" t="s">
        <v>72</v>
      </c>
      <c r="AT3" s="1" t="s">
        <v>72</v>
      </c>
      <c r="AU3" s="1" t="s">
        <v>72</v>
      </c>
      <c r="AV3" s="1" t="n">
        <v>0</v>
      </c>
      <c r="AW3" s="1" t="s">
        <v>72</v>
      </c>
      <c r="AX3" s="1" t="n">
        <v>0</v>
      </c>
      <c r="AY3" s="3" t="s">
        <v>113</v>
      </c>
      <c r="AZ3" s="1" t="b">
        <f aca="false">FALSE()</f>
        <v>0</v>
      </c>
      <c r="BA3" s="1" t="s">
        <v>72</v>
      </c>
      <c r="BB3" s="1" t="n">
        <v>0</v>
      </c>
      <c r="BC3" s="1" t="s">
        <v>72</v>
      </c>
      <c r="BD3" s="1" t="n">
        <v>0</v>
      </c>
      <c r="BE3" s="1" t="s">
        <v>72</v>
      </c>
      <c r="BF3" s="1" t="b">
        <f aca="false">FALSE()</f>
        <v>0</v>
      </c>
      <c r="BG3" s="1" t="s">
        <v>72</v>
      </c>
      <c r="BH3" s="1" t="s">
        <v>72</v>
      </c>
      <c r="BI3" s="1" t="s">
        <v>72</v>
      </c>
      <c r="BJ3" s="1" t="b">
        <f aca="false">TRUE()</f>
        <v>1</v>
      </c>
      <c r="BK3" s="3" t="s">
        <v>114</v>
      </c>
      <c r="BL3" s="3" t="s">
        <v>115</v>
      </c>
      <c r="BM3" s="3" t="s">
        <v>116</v>
      </c>
      <c r="BN3" s="1" t="s">
        <v>72</v>
      </c>
      <c r="BO3" s="1" t="s">
        <v>72</v>
      </c>
      <c r="BP3" s="3" t="s">
        <v>117</v>
      </c>
      <c r="BQ3" s="3" t="s">
        <v>118</v>
      </c>
      <c r="BR3" s="0" t="s">
        <v>97</v>
      </c>
    </row>
    <row r="4" customFormat="false" ht="15" hidden="false" customHeight="false" outlineLevel="0" collapsed="false">
      <c r="A4" s="1" t="n">
        <v>1952</v>
      </c>
      <c r="B4" s="1" t="s">
        <v>70</v>
      </c>
      <c r="C4" s="1" t="s">
        <v>119</v>
      </c>
      <c r="D4" s="1" t="b">
        <f aca="false">FALSE()</f>
        <v>0</v>
      </c>
      <c r="E4" s="1" t="s">
        <v>72</v>
      </c>
      <c r="F4" s="3" t="s">
        <v>120</v>
      </c>
      <c r="G4" s="1" t="s">
        <v>121</v>
      </c>
      <c r="H4" s="1" t="s">
        <v>122</v>
      </c>
      <c r="I4" s="1" t="s">
        <v>121</v>
      </c>
      <c r="J4" s="3" t="s">
        <v>123</v>
      </c>
      <c r="K4" s="3" t="s">
        <v>72</v>
      </c>
      <c r="L4" s="1" t="s">
        <v>75</v>
      </c>
      <c r="M4" s="2" t="s">
        <v>124</v>
      </c>
      <c r="N4" s="2" t="s">
        <v>125</v>
      </c>
      <c r="O4" s="1" t="s">
        <v>126</v>
      </c>
      <c r="P4" s="1" t="s">
        <v>127</v>
      </c>
      <c r="Q4" s="1" t="b">
        <f aca="false">FALSE()</f>
        <v>0</v>
      </c>
      <c r="R4" s="1" t="s">
        <v>72</v>
      </c>
      <c r="S4" s="1" t="s">
        <v>128</v>
      </c>
      <c r="T4" s="1" t="s">
        <v>129</v>
      </c>
      <c r="U4" s="1" t="s">
        <v>72</v>
      </c>
      <c r="V4" s="1" t="s">
        <v>72</v>
      </c>
      <c r="W4" s="1" t="s">
        <v>72</v>
      </c>
      <c r="X4" s="1" t="s">
        <v>72</v>
      </c>
      <c r="Y4" s="1" t="s">
        <v>72</v>
      </c>
      <c r="Z4" s="1" t="s">
        <v>130</v>
      </c>
      <c r="AA4" s="1" t="s">
        <v>131</v>
      </c>
      <c r="AB4" s="1" t="s">
        <v>132</v>
      </c>
      <c r="AC4" s="1" t="s">
        <v>133</v>
      </c>
      <c r="AD4" s="1" t="s">
        <v>72</v>
      </c>
      <c r="AE4" s="1" t="s">
        <v>72</v>
      </c>
      <c r="AF4" s="1" t="s">
        <v>72</v>
      </c>
      <c r="AG4" s="1" t="s">
        <v>72</v>
      </c>
      <c r="AH4" s="1" t="s">
        <v>72</v>
      </c>
      <c r="AI4" s="1" t="s">
        <v>72</v>
      </c>
      <c r="AJ4" s="1" t="s">
        <v>134</v>
      </c>
      <c r="AK4" s="1" t="s">
        <v>135</v>
      </c>
      <c r="AL4" s="1" t="s">
        <v>72</v>
      </c>
      <c r="AM4" s="0" t="s">
        <v>136</v>
      </c>
      <c r="AN4" s="1" t="n">
        <v>3</v>
      </c>
      <c r="AO4" s="1" t="s">
        <v>137</v>
      </c>
      <c r="AP4" s="1" t="s">
        <v>89</v>
      </c>
      <c r="AQ4" s="1" t="s">
        <v>138</v>
      </c>
      <c r="AR4" s="1" t="n">
        <v>2</v>
      </c>
      <c r="AS4" s="1" t="s">
        <v>139</v>
      </c>
      <c r="AT4" s="1" t="s">
        <v>140</v>
      </c>
      <c r="AU4" s="1" t="s">
        <v>141</v>
      </c>
      <c r="AV4" s="1" t="n">
        <v>1</v>
      </c>
      <c r="AW4" s="1" t="s">
        <v>142</v>
      </c>
      <c r="AX4" s="1" t="n">
        <v>1</v>
      </c>
      <c r="AY4" s="1" t="s">
        <v>143</v>
      </c>
      <c r="AZ4" s="1" t="b">
        <f aca="false">FALSE()</f>
        <v>0</v>
      </c>
      <c r="BA4" s="1" t="s">
        <v>72</v>
      </c>
      <c r="BB4" s="1" t="n">
        <v>1</v>
      </c>
      <c r="BC4" s="1" t="s">
        <v>144</v>
      </c>
      <c r="BD4" s="1" t="n">
        <v>1</v>
      </c>
      <c r="BE4" s="1" t="s">
        <v>145</v>
      </c>
      <c r="BF4" s="1" t="b">
        <f aca="false">FALSE()</f>
        <v>0</v>
      </c>
      <c r="BG4" s="1" t="s">
        <v>72</v>
      </c>
      <c r="BH4" s="1" t="s">
        <v>72</v>
      </c>
      <c r="BI4" s="1" t="s">
        <v>72</v>
      </c>
      <c r="BJ4" s="1" t="b">
        <f aca="false">TRUE()</f>
        <v>1</v>
      </c>
      <c r="BK4" s="1" t="s">
        <v>72</v>
      </c>
      <c r="BL4" s="3" t="s">
        <v>146</v>
      </c>
      <c r="BM4" s="1" t="s">
        <v>72</v>
      </c>
      <c r="BN4" s="1" t="s">
        <v>72</v>
      </c>
      <c r="BO4" s="1" t="s">
        <v>72</v>
      </c>
      <c r="BP4" s="3" t="s">
        <v>147</v>
      </c>
      <c r="BQ4" s="1" t="s">
        <v>72</v>
      </c>
      <c r="BR4" s="0" t="s">
        <v>148</v>
      </c>
    </row>
    <row r="5" customFormat="false" ht="15" hidden="false" customHeight="false" outlineLevel="0" collapsed="false">
      <c r="A5" s="1" t="n">
        <v>1952</v>
      </c>
      <c r="B5" s="1" t="s">
        <v>98</v>
      </c>
      <c r="C5" s="1" t="s">
        <v>149</v>
      </c>
      <c r="D5" s="1" t="b">
        <f aca="false">FALSE()</f>
        <v>0</v>
      </c>
      <c r="E5" s="1" t="s">
        <v>72</v>
      </c>
      <c r="F5" s="3" t="s">
        <v>150</v>
      </c>
      <c r="G5" s="1" t="s">
        <v>121</v>
      </c>
      <c r="H5" s="1" t="s">
        <v>122</v>
      </c>
      <c r="I5" s="1" t="s">
        <v>121</v>
      </c>
      <c r="J5" s="3" t="s">
        <v>123</v>
      </c>
      <c r="K5" s="3" t="s">
        <v>72</v>
      </c>
      <c r="L5" s="1" t="s">
        <v>75</v>
      </c>
      <c r="M5" s="2" t="s">
        <v>151</v>
      </c>
      <c r="N5" s="2" t="s">
        <v>152</v>
      </c>
      <c r="O5" s="1" t="s">
        <v>127</v>
      </c>
      <c r="P5" s="1" t="s">
        <v>153</v>
      </c>
      <c r="Q5" s="1" t="b">
        <f aca="false">FALSE()</f>
        <v>0</v>
      </c>
      <c r="R5" s="1" t="s">
        <v>72</v>
      </c>
      <c r="S5" s="1" t="s">
        <v>154</v>
      </c>
      <c r="T5" s="1" t="s">
        <v>155</v>
      </c>
      <c r="U5" s="1" t="s">
        <v>72</v>
      </c>
      <c r="V5" s="1" t="s">
        <v>72</v>
      </c>
      <c r="W5" s="1" t="s">
        <v>72</v>
      </c>
      <c r="X5" s="1" t="s">
        <v>72</v>
      </c>
      <c r="Y5" s="1" t="s">
        <v>72</v>
      </c>
      <c r="Z5" s="1" t="s">
        <v>156</v>
      </c>
      <c r="AA5" s="1" t="s">
        <v>157</v>
      </c>
      <c r="AB5" s="1" t="s">
        <v>158</v>
      </c>
      <c r="AC5" s="1" t="s">
        <v>159</v>
      </c>
      <c r="AD5" s="1" t="s">
        <v>72</v>
      </c>
      <c r="AE5" s="1" t="s">
        <v>72</v>
      </c>
      <c r="AF5" s="1" t="s">
        <v>72</v>
      </c>
      <c r="AG5" s="1" t="s">
        <v>72</v>
      </c>
      <c r="AH5" s="1" t="s">
        <v>72</v>
      </c>
      <c r="AI5" s="1" t="s">
        <v>72</v>
      </c>
      <c r="AJ5" s="1" t="s">
        <v>160</v>
      </c>
      <c r="AK5" s="1" t="s">
        <v>131</v>
      </c>
      <c r="AL5" s="1" t="s">
        <v>72</v>
      </c>
      <c r="AM5" s="0" t="s">
        <v>161</v>
      </c>
      <c r="AN5" s="1" t="n">
        <v>1</v>
      </c>
      <c r="AO5" s="1" t="s">
        <v>162</v>
      </c>
      <c r="AP5" s="1" t="s">
        <v>89</v>
      </c>
      <c r="AQ5" s="1" t="s">
        <v>163</v>
      </c>
      <c r="AR5" s="1" t="n">
        <v>2</v>
      </c>
      <c r="AS5" s="1" t="s">
        <v>139</v>
      </c>
      <c r="AT5" s="1" t="s">
        <v>164</v>
      </c>
      <c r="AU5" s="1" t="s">
        <v>165</v>
      </c>
      <c r="AV5" s="1" t="n">
        <v>1</v>
      </c>
      <c r="AW5" s="1" t="s">
        <v>166</v>
      </c>
      <c r="AX5" s="1" t="n">
        <v>0</v>
      </c>
      <c r="AY5" s="3" t="s">
        <v>113</v>
      </c>
      <c r="AZ5" s="1" t="b">
        <f aca="false">FALSE()</f>
        <v>0</v>
      </c>
      <c r="BA5" s="1" t="s">
        <v>72</v>
      </c>
      <c r="BB5" s="1" t="n">
        <v>0</v>
      </c>
      <c r="BC5" s="3" t="s">
        <v>113</v>
      </c>
      <c r="BD5" s="1" t="n">
        <v>0</v>
      </c>
      <c r="BE5" s="3" t="s">
        <v>113</v>
      </c>
      <c r="BF5" s="1" t="b">
        <f aca="false">FALSE()</f>
        <v>0</v>
      </c>
      <c r="BG5" s="1" t="s">
        <v>72</v>
      </c>
      <c r="BH5" s="1" t="s">
        <v>72</v>
      </c>
      <c r="BI5" s="1" t="s">
        <v>72</v>
      </c>
      <c r="BJ5" s="1" t="b">
        <f aca="false">TRUE()</f>
        <v>1</v>
      </c>
      <c r="BK5" s="1" t="s">
        <v>72</v>
      </c>
      <c r="BL5" s="3" t="s">
        <v>167</v>
      </c>
      <c r="BM5" s="1" t="s">
        <v>72</v>
      </c>
      <c r="BN5" s="1" t="s">
        <v>72</v>
      </c>
      <c r="BO5" s="1" t="s">
        <v>72</v>
      </c>
      <c r="BP5" s="3" t="s">
        <v>168</v>
      </c>
      <c r="BQ5" s="1" t="s">
        <v>72</v>
      </c>
      <c r="BR5" s="0" t="s">
        <v>148</v>
      </c>
    </row>
    <row r="6" customFormat="false" ht="15" hidden="false" customHeight="false" outlineLevel="0" collapsed="false">
      <c r="A6" s="1" t="n">
        <v>2172</v>
      </c>
      <c r="B6" s="1" t="s">
        <v>98</v>
      </c>
      <c r="C6" s="1" t="s">
        <v>169</v>
      </c>
      <c r="D6" s="1" t="b">
        <f aca="false">FALSE()</f>
        <v>0</v>
      </c>
      <c r="E6" s="1" t="s">
        <v>72</v>
      </c>
      <c r="F6" s="1" t="n">
        <v>15</v>
      </c>
      <c r="G6" s="1" t="s">
        <v>170</v>
      </c>
      <c r="H6" s="1" t="s">
        <v>122</v>
      </c>
      <c r="I6" s="1" t="s">
        <v>170</v>
      </c>
      <c r="J6" s="1" t="b">
        <f aca="false">FALSE()</f>
        <v>0</v>
      </c>
      <c r="K6" s="1" t="s">
        <v>72</v>
      </c>
      <c r="L6" s="1" t="s">
        <v>75</v>
      </c>
      <c r="M6" s="2" t="s">
        <v>171</v>
      </c>
      <c r="N6" s="2" t="s">
        <v>172</v>
      </c>
      <c r="O6" s="1" t="s">
        <v>173</v>
      </c>
      <c r="P6" s="1" t="s">
        <v>174</v>
      </c>
      <c r="Q6" s="1" t="b">
        <f aca="false">FALSE()</f>
        <v>0</v>
      </c>
      <c r="R6" s="1" t="s">
        <v>72</v>
      </c>
      <c r="S6" s="1" t="s">
        <v>175</v>
      </c>
      <c r="T6" s="1" t="s">
        <v>173</v>
      </c>
      <c r="U6" s="1" t="s">
        <v>72</v>
      </c>
      <c r="V6" s="1" t="s">
        <v>72</v>
      </c>
      <c r="W6" s="1" t="s">
        <v>176</v>
      </c>
      <c r="X6" s="1" t="s">
        <v>177</v>
      </c>
      <c r="Y6" s="1" t="s">
        <v>72</v>
      </c>
      <c r="Z6" s="1" t="s">
        <v>72</v>
      </c>
      <c r="AA6" s="1" t="s">
        <v>72</v>
      </c>
      <c r="AB6" s="1" t="s">
        <v>72</v>
      </c>
      <c r="AC6" s="1" t="s">
        <v>72</v>
      </c>
      <c r="AD6" s="1" t="s">
        <v>72</v>
      </c>
      <c r="AE6" s="1" t="s">
        <v>72</v>
      </c>
      <c r="AF6" s="1" t="s">
        <v>72</v>
      </c>
      <c r="AG6" s="1" t="s">
        <v>72</v>
      </c>
      <c r="AH6" s="1" t="s">
        <v>72</v>
      </c>
      <c r="AI6" s="1" t="s">
        <v>72</v>
      </c>
      <c r="AJ6" s="1" t="s">
        <v>178</v>
      </c>
      <c r="AK6" s="1" t="s">
        <v>153</v>
      </c>
      <c r="AL6" s="1" t="s">
        <v>72</v>
      </c>
      <c r="AM6" s="0" t="s">
        <v>179</v>
      </c>
      <c r="AN6" s="1" t="n">
        <v>2</v>
      </c>
      <c r="AO6" s="4" t="s">
        <v>180</v>
      </c>
      <c r="AP6" s="4" t="s">
        <v>89</v>
      </c>
      <c r="AQ6" s="4" t="s">
        <v>181</v>
      </c>
      <c r="AR6" s="1" t="n">
        <v>0</v>
      </c>
      <c r="AS6" s="1" t="s">
        <v>72</v>
      </c>
      <c r="AT6" s="1" t="s">
        <v>72</v>
      </c>
      <c r="AU6" s="1" t="s">
        <v>72</v>
      </c>
      <c r="AV6" s="1" t="n">
        <v>1</v>
      </c>
      <c r="AW6" s="1" t="s">
        <v>182</v>
      </c>
      <c r="AX6" s="1" t="n">
        <v>0</v>
      </c>
      <c r="AY6" s="1" t="s">
        <v>183</v>
      </c>
      <c r="AZ6" s="4" t="b">
        <f aca="false">FALSE()</f>
        <v>0</v>
      </c>
      <c r="BA6" s="4" t="s">
        <v>72</v>
      </c>
      <c r="BB6" s="1" t="n">
        <v>0</v>
      </c>
      <c r="BC6" s="3" t="s">
        <v>113</v>
      </c>
      <c r="BD6" s="1" t="n">
        <v>0</v>
      </c>
      <c r="BE6" s="1" t="s">
        <v>72</v>
      </c>
      <c r="BF6" s="1" t="b">
        <f aca="false">FALSE()</f>
        <v>0</v>
      </c>
      <c r="BG6" s="1" t="s">
        <v>72</v>
      </c>
      <c r="BH6" s="1" t="s">
        <v>72</v>
      </c>
      <c r="BI6" s="1" t="s">
        <v>72</v>
      </c>
      <c r="BJ6" s="1" t="b">
        <f aca="false">FALSE()</f>
        <v>0</v>
      </c>
      <c r="BK6" s="1" t="s">
        <v>72</v>
      </c>
      <c r="BL6" s="1" t="s">
        <v>72</v>
      </c>
      <c r="BM6" s="1" t="s">
        <v>72</v>
      </c>
      <c r="BN6" s="1" t="s">
        <v>72</v>
      </c>
      <c r="BO6" s="1" t="s">
        <v>72</v>
      </c>
      <c r="BP6" s="1" t="s">
        <v>72</v>
      </c>
      <c r="BQ6" s="1" t="s">
        <v>72</v>
      </c>
      <c r="BR6" s="0" t="s">
        <v>184</v>
      </c>
    </row>
    <row r="7" customFormat="false" ht="15" hidden="false" customHeight="false" outlineLevel="0" collapsed="false">
      <c r="A7" s="1" t="n">
        <v>2172</v>
      </c>
      <c r="B7" s="1" t="s">
        <v>70</v>
      </c>
      <c r="C7" s="1" t="s">
        <v>185</v>
      </c>
      <c r="D7" s="1" t="b">
        <f aca="false">FALSE()</f>
        <v>0</v>
      </c>
      <c r="E7" s="1" t="s">
        <v>72</v>
      </c>
      <c r="F7" s="1" t="n">
        <v>15</v>
      </c>
      <c r="G7" s="1" t="s">
        <v>170</v>
      </c>
      <c r="H7" s="1" t="s">
        <v>122</v>
      </c>
      <c r="I7" s="1" t="s">
        <v>170</v>
      </c>
      <c r="J7" s="1" t="b">
        <f aca="false">FALSE()</f>
        <v>0</v>
      </c>
      <c r="K7" s="1" t="s">
        <v>72</v>
      </c>
      <c r="L7" s="1" t="s">
        <v>75</v>
      </c>
      <c r="M7" s="2" t="s">
        <v>186</v>
      </c>
      <c r="N7" s="2" t="s">
        <v>187</v>
      </c>
      <c r="O7" s="1" t="s">
        <v>188</v>
      </c>
      <c r="P7" s="1" t="s">
        <v>189</v>
      </c>
      <c r="Q7" s="1" t="b">
        <f aca="false">FALSE()</f>
        <v>0</v>
      </c>
      <c r="R7" s="1" t="s">
        <v>72</v>
      </c>
      <c r="S7" s="1" t="s">
        <v>190</v>
      </c>
      <c r="T7" s="1" t="s">
        <v>188</v>
      </c>
      <c r="U7" s="1" t="s">
        <v>72</v>
      </c>
      <c r="V7" s="1" t="s">
        <v>72</v>
      </c>
      <c r="W7" s="1" t="s">
        <v>127</v>
      </c>
      <c r="X7" s="1" t="s">
        <v>174</v>
      </c>
      <c r="Y7" s="1" t="s">
        <v>72</v>
      </c>
      <c r="Z7" s="1" t="s">
        <v>72</v>
      </c>
      <c r="AA7" s="1" t="s">
        <v>72</v>
      </c>
      <c r="AB7" s="1" t="s">
        <v>72</v>
      </c>
      <c r="AC7" s="1" t="s">
        <v>72</v>
      </c>
      <c r="AD7" s="1" t="s">
        <v>72</v>
      </c>
      <c r="AE7" s="1" t="s">
        <v>72</v>
      </c>
      <c r="AF7" s="1" t="s">
        <v>72</v>
      </c>
      <c r="AG7" s="1" t="s">
        <v>72</v>
      </c>
      <c r="AH7" s="1" t="s">
        <v>72</v>
      </c>
      <c r="AI7" s="1" t="s">
        <v>72</v>
      </c>
      <c r="AJ7" s="1" t="s">
        <v>191</v>
      </c>
      <c r="AK7" s="1" t="s">
        <v>192</v>
      </c>
      <c r="AL7" s="1" t="s">
        <v>72</v>
      </c>
      <c r="AM7" s="0" t="s">
        <v>193</v>
      </c>
      <c r="AN7" s="1" t="n">
        <v>2</v>
      </c>
      <c r="AO7" s="1" t="s">
        <v>194</v>
      </c>
      <c r="AP7" s="1" t="s">
        <v>89</v>
      </c>
      <c r="AQ7" s="1" t="s">
        <v>181</v>
      </c>
      <c r="AR7" s="1" t="n">
        <v>0</v>
      </c>
      <c r="AS7" s="1" t="s">
        <v>72</v>
      </c>
      <c r="AT7" s="1" t="s">
        <v>72</v>
      </c>
      <c r="AU7" s="1" t="s">
        <v>72</v>
      </c>
      <c r="AV7" s="1" t="n">
        <v>1</v>
      </c>
      <c r="AW7" s="1" t="s">
        <v>182</v>
      </c>
      <c r="AX7" s="4" t="n">
        <v>1</v>
      </c>
      <c r="AY7" s="4" t="s">
        <v>195</v>
      </c>
      <c r="AZ7" s="4" t="b">
        <f aca="false">FALSE()</f>
        <v>0</v>
      </c>
      <c r="BA7" s="4" t="s">
        <v>72</v>
      </c>
      <c r="BB7" s="3" t="n">
        <v>0</v>
      </c>
      <c r="BC7" s="3" t="s">
        <v>196</v>
      </c>
      <c r="BD7" s="1" t="n">
        <v>0</v>
      </c>
      <c r="BE7" s="1" t="s">
        <v>72</v>
      </c>
      <c r="BF7" s="1" t="b">
        <f aca="false">FALSE()</f>
        <v>0</v>
      </c>
      <c r="BG7" s="1" t="s">
        <v>72</v>
      </c>
      <c r="BH7" s="1" t="s">
        <v>72</v>
      </c>
      <c r="BI7" s="1" t="s">
        <v>72</v>
      </c>
      <c r="BJ7" s="1" t="b">
        <f aca="false">FALSE()</f>
        <v>0</v>
      </c>
      <c r="BK7" s="1" t="s">
        <v>72</v>
      </c>
      <c r="BL7" s="1" t="s">
        <v>72</v>
      </c>
      <c r="BM7" s="1" t="s">
        <v>72</v>
      </c>
      <c r="BN7" s="1" t="s">
        <v>72</v>
      </c>
      <c r="BO7" s="1" t="s">
        <v>72</v>
      </c>
      <c r="BP7" s="1" t="s">
        <v>72</v>
      </c>
      <c r="BQ7" s="1" t="s">
        <v>72</v>
      </c>
      <c r="BR7" s="0" t="s">
        <v>184</v>
      </c>
    </row>
    <row r="8" customFormat="false" ht="15" hidden="false" customHeight="false" outlineLevel="0" collapsed="false">
      <c r="A8" s="1" t="n">
        <v>2815</v>
      </c>
      <c r="B8" s="1" t="s">
        <v>70</v>
      </c>
      <c r="C8" s="1" t="s">
        <v>197</v>
      </c>
      <c r="D8" s="1" t="b">
        <f aca="false">FALSE()</f>
        <v>0</v>
      </c>
      <c r="E8" s="1" t="s">
        <v>72</v>
      </c>
      <c r="F8" s="1" t="n">
        <v>101</v>
      </c>
      <c r="G8" s="1" t="s">
        <v>198</v>
      </c>
      <c r="H8" s="1" t="s">
        <v>199</v>
      </c>
      <c r="I8" s="1" t="s">
        <v>200</v>
      </c>
      <c r="J8" s="1" t="b">
        <f aca="false">FALSE()</f>
        <v>0</v>
      </c>
      <c r="K8" s="1" t="s">
        <v>72</v>
      </c>
      <c r="L8" s="1" t="s">
        <v>75</v>
      </c>
      <c r="M8" s="2" t="s">
        <v>201</v>
      </c>
      <c r="N8" s="2" t="s">
        <v>202</v>
      </c>
      <c r="O8" s="1" t="s">
        <v>190</v>
      </c>
      <c r="P8" s="1" t="s">
        <v>203</v>
      </c>
      <c r="Q8" s="1" t="b">
        <f aca="false">FALSE()</f>
        <v>0</v>
      </c>
      <c r="R8" s="1" t="s">
        <v>72</v>
      </c>
      <c r="S8" s="1" t="s">
        <v>204</v>
      </c>
      <c r="T8" s="1" t="s">
        <v>205</v>
      </c>
      <c r="U8" s="1" t="s">
        <v>72</v>
      </c>
      <c r="V8" s="1" t="s">
        <v>72</v>
      </c>
      <c r="W8" s="1" t="s">
        <v>206</v>
      </c>
      <c r="X8" s="1" t="s">
        <v>207</v>
      </c>
      <c r="Y8" s="1" t="s">
        <v>72</v>
      </c>
      <c r="Z8" s="1" t="s">
        <v>72</v>
      </c>
      <c r="AA8" s="1" t="s">
        <v>72</v>
      </c>
      <c r="AB8" s="1" t="s">
        <v>72</v>
      </c>
      <c r="AC8" s="1" t="s">
        <v>72</v>
      </c>
      <c r="AD8" s="1" t="s">
        <v>72</v>
      </c>
      <c r="AE8" s="3" t="s">
        <v>208</v>
      </c>
      <c r="AF8" s="1" t="s">
        <v>72</v>
      </c>
      <c r="AG8" s="1" t="s">
        <v>72</v>
      </c>
      <c r="AH8" s="1" t="s">
        <v>72</v>
      </c>
      <c r="AI8" s="1" t="s">
        <v>72</v>
      </c>
      <c r="AJ8" s="1" t="s">
        <v>209</v>
      </c>
      <c r="AK8" s="1" t="s">
        <v>210</v>
      </c>
      <c r="AL8" s="1" t="s">
        <v>72</v>
      </c>
      <c r="AM8" s="0" t="s">
        <v>211</v>
      </c>
      <c r="AN8" s="1" t="n">
        <v>2</v>
      </c>
      <c r="AO8" s="1" t="s">
        <v>212</v>
      </c>
      <c r="AP8" s="1" t="s">
        <v>89</v>
      </c>
      <c r="AQ8" s="1" t="s">
        <v>213</v>
      </c>
      <c r="AR8" s="1" t="n">
        <v>0</v>
      </c>
      <c r="AS8" s="1" t="s">
        <v>72</v>
      </c>
      <c r="AT8" s="1" t="s">
        <v>72</v>
      </c>
      <c r="AU8" s="1" t="s">
        <v>72</v>
      </c>
      <c r="AV8" s="1" t="n">
        <v>0</v>
      </c>
      <c r="AW8" s="1" t="s">
        <v>72</v>
      </c>
      <c r="AX8" s="1" t="n">
        <v>1</v>
      </c>
      <c r="AY8" s="1" t="s">
        <v>214</v>
      </c>
      <c r="AZ8" s="1" t="b">
        <f aca="false">FALSE()</f>
        <v>0</v>
      </c>
      <c r="BA8" s="1" t="s">
        <v>72</v>
      </c>
      <c r="BB8" s="1" t="n">
        <v>1</v>
      </c>
      <c r="BC8" s="1" t="s">
        <v>215</v>
      </c>
      <c r="BD8" s="1" t="n">
        <v>1</v>
      </c>
      <c r="BE8" s="1" t="s">
        <v>216</v>
      </c>
      <c r="BF8" s="1" t="b">
        <f aca="false">FALSE()</f>
        <v>0</v>
      </c>
      <c r="BG8" s="1" t="s">
        <v>72</v>
      </c>
      <c r="BH8" s="1" t="s">
        <v>72</v>
      </c>
      <c r="BI8" s="1" t="s">
        <v>72</v>
      </c>
      <c r="BJ8" s="1" t="b">
        <f aca="false">TRUE()</f>
        <v>1</v>
      </c>
      <c r="BK8" s="1" t="s">
        <v>72</v>
      </c>
      <c r="BL8" s="3" t="s">
        <v>217</v>
      </c>
      <c r="BM8" s="3" t="s">
        <v>218</v>
      </c>
      <c r="BN8" s="1" t="s">
        <v>72</v>
      </c>
      <c r="BO8" s="1" t="s">
        <v>72</v>
      </c>
      <c r="BP8" s="1" t="s">
        <v>72</v>
      </c>
      <c r="BQ8" s="1" t="s">
        <v>72</v>
      </c>
      <c r="BR8" s="0" t="s">
        <v>219</v>
      </c>
    </row>
    <row r="9" customFormat="false" ht="15" hidden="false" customHeight="false" outlineLevel="0" collapsed="false">
      <c r="A9" s="1" t="n">
        <v>2815</v>
      </c>
      <c r="B9" s="1" t="s">
        <v>98</v>
      </c>
      <c r="C9" s="1" t="s">
        <v>220</v>
      </c>
      <c r="D9" s="1" t="b">
        <f aca="false">FALSE()</f>
        <v>0</v>
      </c>
      <c r="E9" s="1" t="s">
        <v>72</v>
      </c>
      <c r="F9" s="1" t="n">
        <v>97</v>
      </c>
      <c r="G9" s="1" t="s">
        <v>198</v>
      </c>
      <c r="H9" s="1" t="s">
        <v>199</v>
      </c>
      <c r="I9" s="1" t="s">
        <v>200</v>
      </c>
      <c r="J9" s="1" t="b">
        <f aca="false">FALSE()</f>
        <v>0</v>
      </c>
      <c r="K9" s="1" t="s">
        <v>72</v>
      </c>
      <c r="L9" s="1" t="s">
        <v>75</v>
      </c>
      <c r="M9" s="1" t="s">
        <v>221</v>
      </c>
      <c r="N9" s="1" t="s">
        <v>222</v>
      </c>
      <c r="O9" s="1" t="s">
        <v>223</v>
      </c>
      <c r="P9" s="1" t="s">
        <v>224</v>
      </c>
      <c r="Q9" s="1" t="b">
        <f aca="false">FALSE()</f>
        <v>0</v>
      </c>
      <c r="R9" s="1" t="s">
        <v>72</v>
      </c>
      <c r="S9" s="1" t="s">
        <v>225</v>
      </c>
      <c r="T9" s="1" t="s">
        <v>226</v>
      </c>
      <c r="U9" s="1" t="s">
        <v>72</v>
      </c>
      <c r="V9" s="1" t="s">
        <v>72</v>
      </c>
      <c r="W9" s="1" t="s">
        <v>227</v>
      </c>
      <c r="X9" s="1" t="s">
        <v>228</v>
      </c>
      <c r="Y9" s="1" t="s">
        <v>72</v>
      </c>
      <c r="Z9" s="1" t="s">
        <v>72</v>
      </c>
      <c r="AA9" s="1" t="s">
        <v>72</v>
      </c>
      <c r="AB9" s="1" t="s">
        <v>72</v>
      </c>
      <c r="AC9" s="1" t="s">
        <v>72</v>
      </c>
      <c r="AD9" s="1" t="s">
        <v>72</v>
      </c>
      <c r="AE9" s="3" t="s">
        <v>229</v>
      </c>
      <c r="AF9" s="1" t="s">
        <v>72</v>
      </c>
      <c r="AG9" s="1" t="s">
        <v>72</v>
      </c>
      <c r="AH9" s="1" t="s">
        <v>72</v>
      </c>
      <c r="AI9" s="1" t="s">
        <v>72</v>
      </c>
      <c r="AJ9" s="1" t="s">
        <v>230</v>
      </c>
      <c r="AK9" s="1" t="s">
        <v>231</v>
      </c>
      <c r="AL9" s="1" t="s">
        <v>72</v>
      </c>
      <c r="AM9" s="0" t="s">
        <v>232</v>
      </c>
      <c r="AN9" s="1" t="n">
        <v>2</v>
      </c>
      <c r="AO9" s="1" t="s">
        <v>233</v>
      </c>
      <c r="AP9" s="1" t="s">
        <v>234</v>
      </c>
      <c r="AQ9" s="1" t="s">
        <v>72</v>
      </c>
      <c r="AR9" s="1" t="n">
        <v>0</v>
      </c>
      <c r="AS9" s="1" t="s">
        <v>72</v>
      </c>
      <c r="AT9" s="1" t="s">
        <v>72</v>
      </c>
      <c r="AU9" s="1" t="s">
        <v>72</v>
      </c>
      <c r="AV9" s="1" t="n">
        <v>0</v>
      </c>
      <c r="AW9" s="1" t="s">
        <v>72</v>
      </c>
      <c r="AX9" s="1" t="n">
        <v>0</v>
      </c>
      <c r="AY9" s="3" t="s">
        <v>196</v>
      </c>
      <c r="AZ9" s="1" t="b">
        <f aca="false">FALSE()</f>
        <v>0</v>
      </c>
      <c r="BA9" s="3" t="s">
        <v>196</v>
      </c>
      <c r="BB9" s="1" t="n">
        <v>0</v>
      </c>
      <c r="BC9" s="3" t="s">
        <v>196</v>
      </c>
      <c r="BD9" s="1" t="n">
        <v>0</v>
      </c>
      <c r="BE9" s="3" t="s">
        <v>196</v>
      </c>
      <c r="BF9" s="1" t="b">
        <f aca="false">FALSE()</f>
        <v>0</v>
      </c>
      <c r="BG9" s="1" t="s">
        <v>72</v>
      </c>
      <c r="BH9" s="1" t="s">
        <v>72</v>
      </c>
      <c r="BI9" s="1" t="s">
        <v>72</v>
      </c>
      <c r="BJ9" s="1" t="b">
        <f aca="false">TRUE()</f>
        <v>1</v>
      </c>
      <c r="BK9" s="1" t="s">
        <v>72</v>
      </c>
      <c r="BL9" s="3" t="s">
        <v>235</v>
      </c>
      <c r="BM9" s="3" t="s">
        <v>236</v>
      </c>
      <c r="BN9" s="1" t="s">
        <v>72</v>
      </c>
      <c r="BO9" s="1" t="s">
        <v>72</v>
      </c>
      <c r="BP9" s="1" t="s">
        <v>72</v>
      </c>
      <c r="BQ9" s="1" t="s">
        <v>72</v>
      </c>
      <c r="BR9" s="0" t="s">
        <v>219</v>
      </c>
    </row>
    <row r="10" customFormat="false" ht="15" hidden="false" customHeight="false" outlineLevel="0" collapsed="false">
      <c r="A10" s="1" t="n">
        <v>3630</v>
      </c>
      <c r="B10" s="1" t="s">
        <v>70</v>
      </c>
      <c r="C10" s="1" t="s">
        <v>237</v>
      </c>
      <c r="D10" s="1" t="b">
        <f aca="false">FALSE()</f>
        <v>0</v>
      </c>
      <c r="E10" s="1" t="s">
        <v>72</v>
      </c>
      <c r="F10" s="3" t="s">
        <v>238</v>
      </c>
      <c r="G10" s="4" t="s">
        <v>239</v>
      </c>
      <c r="H10" s="4" t="s">
        <v>240</v>
      </c>
      <c r="I10" s="1" t="s">
        <v>241</v>
      </c>
      <c r="J10" s="3" t="b">
        <f aca="false">FALSE()</f>
        <v>0</v>
      </c>
      <c r="K10" s="3" t="s">
        <v>72</v>
      </c>
      <c r="L10" s="1" t="s">
        <v>75</v>
      </c>
      <c r="M10" s="2" t="s">
        <v>242</v>
      </c>
      <c r="N10" s="2" t="s">
        <v>243</v>
      </c>
      <c r="O10" s="1" t="s">
        <v>189</v>
      </c>
      <c r="P10" s="1" t="s">
        <v>244</v>
      </c>
      <c r="Q10" s="1" t="b">
        <f aca="false">FALSE()</f>
        <v>0</v>
      </c>
      <c r="R10" s="1" t="s">
        <v>72</v>
      </c>
      <c r="S10" s="1" t="s">
        <v>245</v>
      </c>
      <c r="T10" s="1" t="s">
        <v>246</v>
      </c>
      <c r="U10" s="1" t="s">
        <v>72</v>
      </c>
      <c r="V10" s="1" t="s">
        <v>72</v>
      </c>
      <c r="W10" s="1" t="s">
        <v>72</v>
      </c>
      <c r="X10" s="1" t="s">
        <v>72</v>
      </c>
      <c r="Y10" s="1" t="s">
        <v>72</v>
      </c>
      <c r="Z10" s="1" t="s">
        <v>72</v>
      </c>
      <c r="AA10" s="1" t="s">
        <v>72</v>
      </c>
      <c r="AB10" s="1" t="s">
        <v>72</v>
      </c>
      <c r="AC10" s="1" t="s">
        <v>72</v>
      </c>
      <c r="AD10" s="1" t="s">
        <v>72</v>
      </c>
      <c r="AE10" s="3" t="s">
        <v>247</v>
      </c>
      <c r="AF10" s="1" t="s">
        <v>72</v>
      </c>
      <c r="AG10" s="1" t="s">
        <v>72</v>
      </c>
      <c r="AH10" s="1" t="s">
        <v>72</v>
      </c>
      <c r="AI10" s="1" t="s">
        <v>72</v>
      </c>
      <c r="AJ10" s="1" t="s">
        <v>72</v>
      </c>
      <c r="AK10" s="1" t="s">
        <v>72</v>
      </c>
      <c r="AL10" s="1" t="s">
        <v>72</v>
      </c>
      <c r="AM10" s="0" t="s">
        <v>248</v>
      </c>
      <c r="AN10" s="1" t="n">
        <v>3</v>
      </c>
      <c r="AO10" s="1" t="s">
        <v>249</v>
      </c>
      <c r="AP10" s="1" t="s">
        <v>89</v>
      </c>
      <c r="AQ10" s="1" t="s">
        <v>250</v>
      </c>
      <c r="AR10" s="1" t="n">
        <v>0</v>
      </c>
      <c r="AS10" s="1" t="s">
        <v>72</v>
      </c>
      <c r="AT10" s="1" t="s">
        <v>72</v>
      </c>
      <c r="AU10" s="1" t="s">
        <v>72</v>
      </c>
      <c r="AV10" s="1" t="n">
        <v>1</v>
      </c>
      <c r="AW10" s="1" t="s">
        <v>251</v>
      </c>
      <c r="AX10" s="4" t="s">
        <v>252</v>
      </c>
      <c r="AY10" s="4" t="s">
        <v>195</v>
      </c>
      <c r="AZ10" s="3" t="b">
        <f aca="false">FALSE()</f>
        <v>0</v>
      </c>
      <c r="BA10" s="3" t="s">
        <v>72</v>
      </c>
      <c r="BB10" s="1" t="n">
        <v>1</v>
      </c>
      <c r="BC10" s="1" t="s">
        <v>253</v>
      </c>
      <c r="BD10" s="1" t="n">
        <v>1</v>
      </c>
      <c r="BE10" s="1" t="s">
        <v>254</v>
      </c>
      <c r="BF10" s="1" t="b">
        <f aca="false">FALSE()</f>
        <v>0</v>
      </c>
      <c r="BG10" s="1" t="s">
        <v>72</v>
      </c>
      <c r="BH10" s="1" t="s">
        <v>72</v>
      </c>
      <c r="BI10" s="1" t="s">
        <v>72</v>
      </c>
      <c r="BJ10" s="1" t="b">
        <f aca="false">TRUE()</f>
        <v>1</v>
      </c>
      <c r="BK10" s="1" t="s">
        <v>72</v>
      </c>
      <c r="BL10" s="1" t="s">
        <v>72</v>
      </c>
      <c r="BM10" s="1" t="s">
        <v>72</v>
      </c>
      <c r="BN10" s="1" t="s">
        <v>72</v>
      </c>
      <c r="BO10" s="3" t="s">
        <v>255</v>
      </c>
      <c r="BP10" s="1" t="s">
        <v>72</v>
      </c>
      <c r="BQ10" s="1" t="s">
        <v>256</v>
      </c>
      <c r="BR10" s="0" t="s">
        <v>257</v>
      </c>
    </row>
    <row r="11" customFormat="false" ht="15" hidden="false" customHeight="false" outlineLevel="0" collapsed="false">
      <c r="A11" s="1" t="n">
        <v>3630</v>
      </c>
      <c r="B11" s="1" t="s">
        <v>98</v>
      </c>
      <c r="C11" s="1" t="s">
        <v>258</v>
      </c>
      <c r="D11" s="1" t="b">
        <f aca="false">FALSE()</f>
        <v>0</v>
      </c>
      <c r="E11" s="1" t="s">
        <v>72</v>
      </c>
      <c r="F11" s="5" t="n">
        <v>84</v>
      </c>
      <c r="G11" s="4" t="s">
        <v>239</v>
      </c>
      <c r="H11" s="4" t="s">
        <v>240</v>
      </c>
      <c r="I11" s="1" t="s">
        <v>241</v>
      </c>
      <c r="J11" s="3" t="b">
        <f aca="false">FALSE()</f>
        <v>0</v>
      </c>
      <c r="K11" s="3" t="s">
        <v>72</v>
      </c>
      <c r="L11" s="1" t="s">
        <v>75</v>
      </c>
      <c r="M11" s="2" t="s">
        <v>259</v>
      </c>
      <c r="N11" s="2" t="s">
        <v>260</v>
      </c>
      <c r="O11" s="1" t="s">
        <v>188</v>
      </c>
      <c r="P11" s="1" t="s">
        <v>261</v>
      </c>
      <c r="Q11" s="1" t="b">
        <f aca="false">FALSE()</f>
        <v>0</v>
      </c>
      <c r="R11" s="1" t="s">
        <v>72</v>
      </c>
      <c r="S11" s="1" t="s">
        <v>262</v>
      </c>
      <c r="T11" s="1" t="s">
        <v>263</v>
      </c>
      <c r="U11" s="1" t="s">
        <v>72</v>
      </c>
      <c r="V11" s="1" t="s">
        <v>72</v>
      </c>
      <c r="W11" s="1" t="s">
        <v>72</v>
      </c>
      <c r="X11" s="1" t="s">
        <v>72</v>
      </c>
      <c r="Y11" s="1" t="s">
        <v>72</v>
      </c>
      <c r="Z11" s="1" t="s">
        <v>72</v>
      </c>
      <c r="AA11" s="1" t="s">
        <v>72</v>
      </c>
      <c r="AB11" s="1" t="s">
        <v>72</v>
      </c>
      <c r="AC11" s="1" t="s">
        <v>72</v>
      </c>
      <c r="AD11" s="1" t="s">
        <v>72</v>
      </c>
      <c r="AE11" s="3" t="s">
        <v>264</v>
      </c>
      <c r="AF11" s="1" t="s">
        <v>72</v>
      </c>
      <c r="AG11" s="1" t="s">
        <v>72</v>
      </c>
      <c r="AH11" s="1" t="s">
        <v>72</v>
      </c>
      <c r="AI11" s="1" t="s">
        <v>72</v>
      </c>
      <c r="AJ11" s="1" t="s">
        <v>72</v>
      </c>
      <c r="AK11" s="1" t="s">
        <v>72</v>
      </c>
      <c r="AL11" s="1" t="s">
        <v>72</v>
      </c>
      <c r="AM11" s="0" t="s">
        <v>265</v>
      </c>
      <c r="AN11" s="1" t="n">
        <v>3</v>
      </c>
      <c r="AO11" s="1" t="s">
        <v>266</v>
      </c>
      <c r="AP11" s="1" t="s">
        <v>89</v>
      </c>
      <c r="AQ11" s="1" t="s">
        <v>250</v>
      </c>
      <c r="AR11" s="1" t="n">
        <v>0</v>
      </c>
      <c r="AS11" s="1" t="s">
        <v>72</v>
      </c>
      <c r="AT11" s="1" t="s">
        <v>72</v>
      </c>
      <c r="AU11" s="1" t="s">
        <v>72</v>
      </c>
      <c r="AV11" s="1" t="n">
        <v>1</v>
      </c>
      <c r="AW11" s="1" t="s">
        <v>251</v>
      </c>
      <c r="AX11" s="4" t="s">
        <v>252</v>
      </c>
      <c r="AY11" s="4" t="s">
        <v>195</v>
      </c>
      <c r="AZ11" s="3" t="b">
        <f aca="false">FALSE()</f>
        <v>0</v>
      </c>
      <c r="BA11" s="3" t="s">
        <v>72</v>
      </c>
      <c r="BB11" s="1" t="n">
        <v>1</v>
      </c>
      <c r="BC11" s="1" t="s">
        <v>253</v>
      </c>
      <c r="BD11" s="1" t="n">
        <v>1</v>
      </c>
      <c r="BE11" s="1" t="s">
        <v>254</v>
      </c>
      <c r="BF11" s="1" t="b">
        <f aca="false">FALSE()</f>
        <v>0</v>
      </c>
      <c r="BG11" s="1" t="s">
        <v>72</v>
      </c>
      <c r="BH11" s="1" t="s">
        <v>72</v>
      </c>
      <c r="BI11" s="1" t="s">
        <v>72</v>
      </c>
      <c r="BJ11" s="1" t="b">
        <f aca="false">TRUE()</f>
        <v>1</v>
      </c>
      <c r="BK11" s="1" t="s">
        <v>72</v>
      </c>
      <c r="BL11" s="1" t="s">
        <v>72</v>
      </c>
      <c r="BM11" s="1" t="s">
        <v>72</v>
      </c>
      <c r="BN11" s="1" t="s">
        <v>72</v>
      </c>
      <c r="BO11" s="3" t="s">
        <v>267</v>
      </c>
      <c r="BP11" s="1" t="s">
        <v>72</v>
      </c>
      <c r="BQ11" s="1" t="s">
        <v>268</v>
      </c>
      <c r="BR11" s="0" t="s">
        <v>257</v>
      </c>
    </row>
    <row r="12" customFormat="false" ht="15" hidden="false" customHeight="false" outlineLevel="0" collapsed="false">
      <c r="A12" s="1" t="n">
        <v>4108</v>
      </c>
      <c r="B12" s="1" t="s">
        <v>70</v>
      </c>
      <c r="C12" s="1" t="s">
        <v>269</v>
      </c>
      <c r="D12" s="1" t="b">
        <f aca="false">TRUE()</f>
        <v>1</v>
      </c>
      <c r="E12" s="1" t="s">
        <v>270</v>
      </c>
      <c r="F12" s="1" t="n">
        <v>9</v>
      </c>
      <c r="G12" s="1" t="s">
        <v>198</v>
      </c>
      <c r="H12" s="1" t="s">
        <v>122</v>
      </c>
      <c r="I12" s="1" t="s">
        <v>198</v>
      </c>
      <c r="J12" s="1" t="b">
        <f aca="false">FALSE()</f>
        <v>0</v>
      </c>
      <c r="K12" s="1" t="s">
        <v>72</v>
      </c>
      <c r="L12" s="1" t="s">
        <v>75</v>
      </c>
      <c r="M12" s="2" t="s">
        <v>271</v>
      </c>
      <c r="N12" s="2" t="s">
        <v>272</v>
      </c>
      <c r="O12" s="1" t="s">
        <v>173</v>
      </c>
      <c r="P12" s="1" t="s">
        <v>273</v>
      </c>
      <c r="Q12" s="1" t="b">
        <f aca="false">FALSE()</f>
        <v>0</v>
      </c>
      <c r="R12" s="1" t="s">
        <v>72</v>
      </c>
      <c r="S12" s="1" t="s">
        <v>274</v>
      </c>
      <c r="T12" s="1" t="s">
        <v>174</v>
      </c>
      <c r="U12" s="1" t="s">
        <v>72</v>
      </c>
      <c r="V12" s="1" t="s">
        <v>72</v>
      </c>
      <c r="W12" s="1" t="s">
        <v>275</v>
      </c>
      <c r="X12" s="1" t="s">
        <v>276</v>
      </c>
      <c r="Y12" s="1" t="s">
        <v>72</v>
      </c>
      <c r="Z12" s="1" t="s">
        <v>72</v>
      </c>
      <c r="AA12" s="1" t="s">
        <v>72</v>
      </c>
      <c r="AB12" s="1" t="s">
        <v>72</v>
      </c>
      <c r="AC12" s="1" t="s">
        <v>72</v>
      </c>
      <c r="AD12" s="1" t="s">
        <v>72</v>
      </c>
      <c r="AE12" s="1" t="s">
        <v>72</v>
      </c>
      <c r="AF12" s="1" t="s">
        <v>72</v>
      </c>
      <c r="AG12" s="1" t="s">
        <v>72</v>
      </c>
      <c r="AH12" s="1" t="s">
        <v>72</v>
      </c>
      <c r="AI12" s="1" t="s">
        <v>72</v>
      </c>
      <c r="AJ12" s="1" t="s">
        <v>277</v>
      </c>
      <c r="AK12" s="1" t="s">
        <v>278</v>
      </c>
      <c r="AL12" s="1" t="s">
        <v>72</v>
      </c>
      <c r="AM12" s="0" t="s">
        <v>279</v>
      </c>
      <c r="AN12" s="1" t="n">
        <v>2</v>
      </c>
      <c r="AO12" s="1" t="s">
        <v>280</v>
      </c>
      <c r="AP12" s="1" t="s">
        <v>89</v>
      </c>
      <c r="AQ12" s="1" t="s">
        <v>281</v>
      </c>
      <c r="AR12" s="1" t="n">
        <v>2</v>
      </c>
      <c r="AS12" s="1" t="s">
        <v>282</v>
      </c>
      <c r="AT12" s="1" t="s">
        <v>283</v>
      </c>
      <c r="AU12" s="1" t="s">
        <v>284</v>
      </c>
      <c r="AV12" s="1" t="n">
        <v>1</v>
      </c>
      <c r="AW12" s="1" t="s">
        <v>285</v>
      </c>
      <c r="AX12" s="1" t="n">
        <v>1</v>
      </c>
      <c r="AY12" s="1" t="s">
        <v>286</v>
      </c>
      <c r="AZ12" s="1" t="b">
        <f aca="false">FALSE()</f>
        <v>0</v>
      </c>
      <c r="BA12" s="1" t="s">
        <v>72</v>
      </c>
      <c r="BB12" s="1" t="n">
        <v>1</v>
      </c>
      <c r="BC12" s="1" t="s">
        <v>287</v>
      </c>
      <c r="BD12" s="1" t="n">
        <v>1</v>
      </c>
      <c r="BE12" s="1" t="s">
        <v>288</v>
      </c>
      <c r="BF12" s="1" t="b">
        <f aca="false">TRUE()</f>
        <v>1</v>
      </c>
      <c r="BG12" s="1" t="s">
        <v>289</v>
      </c>
      <c r="BH12" s="1" t="s">
        <v>72</v>
      </c>
      <c r="BI12" s="1" t="s">
        <v>72</v>
      </c>
      <c r="BJ12" s="1" t="b">
        <f aca="false">TRUE()</f>
        <v>1</v>
      </c>
      <c r="BK12" s="1" t="s">
        <v>72</v>
      </c>
      <c r="BL12" s="1" t="s">
        <v>72</v>
      </c>
      <c r="BM12" s="2" t="s">
        <v>290</v>
      </c>
      <c r="BN12" s="1" t="s">
        <v>72</v>
      </c>
      <c r="BO12" s="1" t="s">
        <v>72</v>
      </c>
      <c r="BP12" s="1" t="s">
        <v>291</v>
      </c>
      <c r="BQ12" s="1" t="s">
        <v>292</v>
      </c>
      <c r="BR12" s="0" t="s">
        <v>293</v>
      </c>
    </row>
    <row r="13" customFormat="false" ht="15" hidden="false" customHeight="false" outlineLevel="0" collapsed="false">
      <c r="A13" s="1" t="n">
        <v>4108</v>
      </c>
      <c r="B13" s="1" t="s">
        <v>98</v>
      </c>
      <c r="C13" s="1" t="s">
        <v>294</v>
      </c>
      <c r="D13" s="1" t="b">
        <f aca="false">TRUE()</f>
        <v>1</v>
      </c>
      <c r="E13" s="1" t="s">
        <v>295</v>
      </c>
      <c r="F13" s="1" t="n">
        <v>8</v>
      </c>
      <c r="G13" s="1" t="s">
        <v>198</v>
      </c>
      <c r="H13" s="1" t="s">
        <v>122</v>
      </c>
      <c r="I13" s="1" t="s">
        <v>198</v>
      </c>
      <c r="J13" s="1" t="b">
        <f aca="false">FALSE()</f>
        <v>0</v>
      </c>
      <c r="K13" s="1" t="s">
        <v>72</v>
      </c>
      <c r="L13" s="1" t="s">
        <v>75</v>
      </c>
      <c r="M13" s="2" t="s">
        <v>296</v>
      </c>
      <c r="N13" s="2" t="s">
        <v>297</v>
      </c>
      <c r="O13" s="1" t="s">
        <v>177</v>
      </c>
      <c r="P13" s="1" t="s">
        <v>273</v>
      </c>
      <c r="Q13" s="1" t="b">
        <f aca="false">FALSE()</f>
        <v>0</v>
      </c>
      <c r="R13" s="1" t="s">
        <v>72</v>
      </c>
      <c r="S13" s="1" t="s">
        <v>298</v>
      </c>
      <c r="T13" s="1" t="s">
        <v>299</v>
      </c>
      <c r="U13" s="1" t="s">
        <v>72</v>
      </c>
      <c r="V13" s="1" t="s">
        <v>72</v>
      </c>
      <c r="W13" s="1" t="s">
        <v>300</v>
      </c>
      <c r="X13" s="1" t="s">
        <v>226</v>
      </c>
      <c r="Y13" s="1" t="s">
        <v>72</v>
      </c>
      <c r="Z13" s="1" t="s">
        <v>72</v>
      </c>
      <c r="AA13" s="1" t="s">
        <v>72</v>
      </c>
      <c r="AB13" s="1" t="s">
        <v>72</v>
      </c>
      <c r="AC13" s="1" t="s">
        <v>72</v>
      </c>
      <c r="AD13" s="1" t="s">
        <v>72</v>
      </c>
      <c r="AE13" s="1" t="s">
        <v>72</v>
      </c>
      <c r="AF13" s="1" t="s">
        <v>72</v>
      </c>
      <c r="AG13" s="1" t="s">
        <v>72</v>
      </c>
      <c r="AH13" s="1" t="s">
        <v>72</v>
      </c>
      <c r="AI13" s="1" t="s">
        <v>72</v>
      </c>
      <c r="AJ13" s="1" t="s">
        <v>301</v>
      </c>
      <c r="AK13" s="1" t="s">
        <v>302</v>
      </c>
      <c r="AL13" s="1" t="s">
        <v>72</v>
      </c>
      <c r="AM13" s="0" t="s">
        <v>303</v>
      </c>
      <c r="AN13" s="4" t="s">
        <v>304</v>
      </c>
      <c r="AO13" s="4" t="s">
        <v>305</v>
      </c>
      <c r="AP13" s="4" t="s">
        <v>89</v>
      </c>
      <c r="AQ13" s="4" t="s">
        <v>281</v>
      </c>
      <c r="AR13" s="1" t="n">
        <v>2</v>
      </c>
      <c r="AS13" s="1" t="s">
        <v>282</v>
      </c>
      <c r="AT13" s="1" t="s">
        <v>306</v>
      </c>
      <c r="AU13" s="1" t="s">
        <v>307</v>
      </c>
      <c r="AV13" s="1" t="n">
        <v>1</v>
      </c>
      <c r="AW13" s="1" t="s">
        <v>285</v>
      </c>
      <c r="AX13" s="1" t="n">
        <v>1</v>
      </c>
      <c r="AY13" s="1" t="s">
        <v>286</v>
      </c>
      <c r="AZ13" s="1" t="b">
        <f aca="false">FALSE()</f>
        <v>0</v>
      </c>
      <c r="BA13" s="1" t="s">
        <v>72</v>
      </c>
      <c r="BB13" s="1" t="n">
        <v>1</v>
      </c>
      <c r="BC13" s="1" t="s">
        <v>287</v>
      </c>
      <c r="BD13" s="1" t="n">
        <v>1</v>
      </c>
      <c r="BE13" s="1" t="s">
        <v>288</v>
      </c>
      <c r="BF13" s="1" t="b">
        <f aca="false">TRUE()</f>
        <v>1</v>
      </c>
      <c r="BG13" s="1" t="s">
        <v>308</v>
      </c>
      <c r="BH13" s="1" t="s">
        <v>72</v>
      </c>
      <c r="BI13" s="1" t="s">
        <v>72</v>
      </c>
      <c r="BJ13" s="1" t="b">
        <f aca="false">TRUE()</f>
        <v>1</v>
      </c>
      <c r="BK13" s="1" t="s">
        <v>72</v>
      </c>
      <c r="BL13" s="1" t="s">
        <v>72</v>
      </c>
      <c r="BM13" s="2" t="s">
        <v>309</v>
      </c>
      <c r="BN13" s="1" t="s">
        <v>72</v>
      </c>
      <c r="BO13" s="1" t="s">
        <v>72</v>
      </c>
      <c r="BP13" s="1" t="s">
        <v>310</v>
      </c>
      <c r="BQ13" s="1" t="s">
        <v>311</v>
      </c>
      <c r="BR13" s="0" t="s">
        <v>293</v>
      </c>
    </row>
    <row r="14" customFormat="false" ht="15" hidden="false" customHeight="false" outlineLevel="0" collapsed="false">
      <c r="A14" s="1" t="n">
        <v>4475</v>
      </c>
      <c r="B14" s="1" t="s">
        <v>70</v>
      </c>
      <c r="C14" s="1" t="s">
        <v>197</v>
      </c>
      <c r="D14" s="1" t="b">
        <f aca="false">FALSE()</f>
        <v>0</v>
      </c>
      <c r="E14" s="1" t="s">
        <v>72</v>
      </c>
      <c r="F14" s="1" t="n">
        <v>128</v>
      </c>
      <c r="G14" s="1" t="s">
        <v>241</v>
      </c>
      <c r="H14" s="1" t="s">
        <v>122</v>
      </c>
      <c r="I14" s="1" t="s">
        <v>241</v>
      </c>
      <c r="J14" s="1" t="b">
        <f aca="false">FALSE()</f>
        <v>0</v>
      </c>
      <c r="K14" s="1" t="s">
        <v>72</v>
      </c>
      <c r="L14" s="1" t="s">
        <v>75</v>
      </c>
      <c r="M14" s="2" t="s">
        <v>312</v>
      </c>
      <c r="N14" s="2" t="s">
        <v>313</v>
      </c>
      <c r="O14" s="1" t="s">
        <v>314</v>
      </c>
      <c r="P14" s="1" t="s">
        <v>315</v>
      </c>
      <c r="Q14" s="1" t="b">
        <f aca="false">FALSE()</f>
        <v>0</v>
      </c>
      <c r="R14" s="1" t="s">
        <v>72</v>
      </c>
      <c r="S14" s="1" t="s">
        <v>316</v>
      </c>
      <c r="T14" s="1" t="s">
        <v>317</v>
      </c>
      <c r="U14" s="1" t="s">
        <v>72</v>
      </c>
      <c r="V14" s="1" t="s">
        <v>72</v>
      </c>
      <c r="W14" s="1" t="s">
        <v>72</v>
      </c>
      <c r="X14" s="1" t="s">
        <v>72</v>
      </c>
      <c r="Y14" s="1" t="s">
        <v>72</v>
      </c>
      <c r="Z14" s="1" t="s">
        <v>72</v>
      </c>
      <c r="AA14" s="1" t="s">
        <v>72</v>
      </c>
      <c r="AB14" s="1" t="s">
        <v>72</v>
      </c>
      <c r="AC14" s="1" t="s">
        <v>72</v>
      </c>
      <c r="AD14" s="1" t="s">
        <v>72</v>
      </c>
      <c r="AE14" s="2" t="s">
        <v>318</v>
      </c>
      <c r="AF14" s="1" t="s">
        <v>72</v>
      </c>
      <c r="AG14" s="1" t="s">
        <v>72</v>
      </c>
      <c r="AH14" s="1" t="s">
        <v>72</v>
      </c>
      <c r="AI14" s="1" t="s">
        <v>72</v>
      </c>
      <c r="AJ14" s="1" t="s">
        <v>319</v>
      </c>
      <c r="AK14" s="1" t="s">
        <v>320</v>
      </c>
      <c r="AL14" s="1" t="s">
        <v>72</v>
      </c>
      <c r="AM14" s="0" t="s">
        <v>321</v>
      </c>
      <c r="AN14" s="1" t="n">
        <v>2</v>
      </c>
      <c r="AO14" s="1" t="s">
        <v>322</v>
      </c>
      <c r="AP14" s="1" t="s">
        <v>89</v>
      </c>
      <c r="AQ14" s="1" t="s">
        <v>323</v>
      </c>
      <c r="AR14" s="1" t="n">
        <v>2</v>
      </c>
      <c r="AS14" s="1" t="s">
        <v>324</v>
      </c>
      <c r="AT14" s="1" t="s">
        <v>207</v>
      </c>
      <c r="AU14" s="1" t="s">
        <v>325</v>
      </c>
      <c r="AV14" s="1" t="n">
        <v>1</v>
      </c>
      <c r="AW14" s="1" t="s">
        <v>326</v>
      </c>
      <c r="AX14" s="1" t="n">
        <v>1</v>
      </c>
      <c r="AY14" s="1" t="s">
        <v>327</v>
      </c>
      <c r="AZ14" s="1" t="b">
        <f aca="false">FALSE()</f>
        <v>0</v>
      </c>
      <c r="BA14" s="1" t="s">
        <v>72</v>
      </c>
      <c r="BB14" s="1" t="n">
        <v>1</v>
      </c>
      <c r="BC14" s="1" t="s">
        <v>328</v>
      </c>
      <c r="BD14" s="1" t="n">
        <v>1</v>
      </c>
      <c r="BE14" s="1" t="s">
        <v>329</v>
      </c>
      <c r="BF14" s="1" t="b">
        <f aca="false">FALSE()</f>
        <v>0</v>
      </c>
      <c r="BG14" s="1" t="s">
        <v>72</v>
      </c>
      <c r="BH14" s="1" t="s">
        <v>72</v>
      </c>
      <c r="BI14" s="1" t="s">
        <v>72</v>
      </c>
      <c r="BJ14" s="3" t="s">
        <v>330</v>
      </c>
      <c r="BK14" s="1" t="s">
        <v>72</v>
      </c>
      <c r="BL14" s="1" t="s">
        <v>72</v>
      </c>
      <c r="BM14" s="1" t="s">
        <v>72</v>
      </c>
      <c r="BN14" s="1" t="s">
        <v>72</v>
      </c>
      <c r="BO14" s="1" t="s">
        <v>72</v>
      </c>
      <c r="BP14" s="1" t="s">
        <v>72</v>
      </c>
      <c r="BQ14" s="1" t="s">
        <v>72</v>
      </c>
      <c r="BR14" s="0" t="s">
        <v>331</v>
      </c>
    </row>
    <row r="15" customFormat="false" ht="15" hidden="false" customHeight="false" outlineLevel="0" collapsed="false">
      <c r="A15" s="1" t="n">
        <v>4475</v>
      </c>
      <c r="B15" s="1" t="s">
        <v>98</v>
      </c>
      <c r="C15" s="1" t="s">
        <v>149</v>
      </c>
      <c r="D15" s="1" t="b">
        <f aca="false">FALSE()</f>
        <v>0</v>
      </c>
      <c r="E15" s="1" t="s">
        <v>72</v>
      </c>
      <c r="F15" s="1" t="n">
        <v>128</v>
      </c>
      <c r="G15" s="1" t="s">
        <v>241</v>
      </c>
      <c r="H15" s="1" t="s">
        <v>122</v>
      </c>
      <c r="I15" s="1" t="s">
        <v>241</v>
      </c>
      <c r="J15" s="1" t="b">
        <f aca="false">FALSE()</f>
        <v>0</v>
      </c>
      <c r="K15" s="1" t="s">
        <v>72</v>
      </c>
      <c r="L15" s="1" t="s">
        <v>75</v>
      </c>
      <c r="M15" s="2" t="s">
        <v>332</v>
      </c>
      <c r="N15" s="2" t="s">
        <v>333</v>
      </c>
      <c r="O15" s="1" t="s">
        <v>334</v>
      </c>
      <c r="P15" s="1" t="s">
        <v>335</v>
      </c>
      <c r="Q15" s="1" t="b">
        <f aca="false">FALSE()</f>
        <v>0</v>
      </c>
      <c r="R15" s="1" t="s">
        <v>72</v>
      </c>
      <c r="S15" s="1" t="s">
        <v>336</v>
      </c>
      <c r="T15" s="1" t="s">
        <v>337</v>
      </c>
      <c r="U15" s="1" t="s">
        <v>72</v>
      </c>
      <c r="V15" s="1" t="s">
        <v>72</v>
      </c>
      <c r="W15" s="1" t="s">
        <v>72</v>
      </c>
      <c r="X15" s="1" t="s">
        <v>72</v>
      </c>
      <c r="Y15" s="1" t="s">
        <v>72</v>
      </c>
      <c r="Z15" s="1" t="s">
        <v>72</v>
      </c>
      <c r="AA15" s="1" t="s">
        <v>72</v>
      </c>
      <c r="AB15" s="1" t="s">
        <v>72</v>
      </c>
      <c r="AC15" s="1" t="s">
        <v>72</v>
      </c>
      <c r="AD15" s="1" t="s">
        <v>72</v>
      </c>
      <c r="AE15" s="2" t="s">
        <v>338</v>
      </c>
      <c r="AF15" s="1" t="s">
        <v>72</v>
      </c>
      <c r="AG15" s="1" t="s">
        <v>72</v>
      </c>
      <c r="AH15" s="1" t="s">
        <v>72</v>
      </c>
      <c r="AI15" s="1" t="s">
        <v>72</v>
      </c>
      <c r="AJ15" s="1" t="s">
        <v>171</v>
      </c>
      <c r="AK15" s="1" t="s">
        <v>339</v>
      </c>
      <c r="AL15" s="1" t="s">
        <v>72</v>
      </c>
      <c r="AM15" s="0" t="s">
        <v>340</v>
      </c>
      <c r="AN15" s="1" t="n">
        <v>2</v>
      </c>
      <c r="AO15" s="1" t="s">
        <v>341</v>
      </c>
      <c r="AP15" s="1" t="s">
        <v>89</v>
      </c>
      <c r="AQ15" s="1" t="s">
        <v>342</v>
      </c>
      <c r="AR15" s="1" t="n">
        <v>2</v>
      </c>
      <c r="AS15" s="1" t="s">
        <v>324</v>
      </c>
      <c r="AT15" s="1" t="s">
        <v>343</v>
      </c>
      <c r="AU15" s="1" t="s">
        <v>344</v>
      </c>
      <c r="AV15" s="1" t="n">
        <v>1</v>
      </c>
      <c r="AW15" s="1" t="s">
        <v>326</v>
      </c>
      <c r="AX15" s="1" t="n">
        <v>0</v>
      </c>
      <c r="AY15" s="3" t="s">
        <v>196</v>
      </c>
      <c r="AZ15" s="1" t="b">
        <f aca="false">FALSE()</f>
        <v>0</v>
      </c>
      <c r="BA15" s="3" t="s">
        <v>196</v>
      </c>
      <c r="BB15" s="1" t="n">
        <v>0</v>
      </c>
      <c r="BC15" s="1" t="s">
        <v>72</v>
      </c>
      <c r="BD15" s="1" t="n">
        <v>0</v>
      </c>
      <c r="BE15" s="1" t="s">
        <v>72</v>
      </c>
      <c r="BF15" s="1" t="b">
        <f aca="false">FALSE()</f>
        <v>0</v>
      </c>
      <c r="BG15" s="1" t="s">
        <v>72</v>
      </c>
      <c r="BH15" s="1" t="s">
        <v>72</v>
      </c>
      <c r="BI15" s="1" t="s">
        <v>72</v>
      </c>
      <c r="BJ15" s="3" t="s">
        <v>330</v>
      </c>
      <c r="BK15" s="1" t="s">
        <v>72</v>
      </c>
      <c r="BL15" s="1" t="s">
        <v>72</v>
      </c>
      <c r="BM15" s="1" t="s">
        <v>72</v>
      </c>
      <c r="BN15" s="1" t="s">
        <v>72</v>
      </c>
      <c r="BO15" s="1" t="s">
        <v>72</v>
      </c>
      <c r="BP15" s="1" t="s">
        <v>72</v>
      </c>
      <c r="BQ15" s="1" t="s">
        <v>72</v>
      </c>
      <c r="BR15" s="0" t="s">
        <v>331</v>
      </c>
    </row>
    <row r="16" customFormat="false" ht="15" hidden="false" customHeight="false" outlineLevel="0" collapsed="false">
      <c r="A16" s="1" t="n">
        <v>4727</v>
      </c>
      <c r="B16" s="1" t="s">
        <v>70</v>
      </c>
      <c r="C16" s="1" t="s">
        <v>345</v>
      </c>
      <c r="D16" s="1" t="b">
        <f aca="false">FALSE()</f>
        <v>0</v>
      </c>
      <c r="E16" s="1" t="s">
        <v>72</v>
      </c>
      <c r="F16" s="1" t="n">
        <v>334</v>
      </c>
      <c r="G16" s="1" t="s">
        <v>241</v>
      </c>
      <c r="H16" s="1" t="s">
        <v>122</v>
      </c>
      <c r="I16" s="1" t="s">
        <v>241</v>
      </c>
      <c r="J16" s="3" t="b">
        <f aca="false">FALSE()</f>
        <v>0</v>
      </c>
      <c r="K16" s="3" t="s">
        <v>346</v>
      </c>
      <c r="L16" s="1" t="s">
        <v>75</v>
      </c>
      <c r="M16" s="2" t="s">
        <v>347</v>
      </c>
      <c r="N16" s="2" t="s">
        <v>348</v>
      </c>
      <c r="O16" s="1" t="s">
        <v>244</v>
      </c>
      <c r="P16" s="1" t="s">
        <v>349</v>
      </c>
      <c r="Q16" s="1" t="b">
        <f aca="false">FALSE()</f>
        <v>0</v>
      </c>
      <c r="R16" s="1" t="s">
        <v>72</v>
      </c>
      <c r="S16" s="1" t="s">
        <v>350</v>
      </c>
      <c r="T16" s="1" t="s">
        <v>72</v>
      </c>
      <c r="U16" s="1" t="s">
        <v>351</v>
      </c>
      <c r="V16" s="1" t="s">
        <v>72</v>
      </c>
      <c r="W16" s="1" t="s">
        <v>72</v>
      </c>
      <c r="X16" s="1" t="s">
        <v>72</v>
      </c>
      <c r="Y16" s="1" t="s">
        <v>72</v>
      </c>
      <c r="Z16" s="1" t="s">
        <v>72</v>
      </c>
      <c r="AA16" s="1" t="s">
        <v>72</v>
      </c>
      <c r="AB16" s="1" t="s">
        <v>72</v>
      </c>
      <c r="AC16" s="1" t="s">
        <v>72</v>
      </c>
      <c r="AD16" s="1" t="s">
        <v>72</v>
      </c>
      <c r="AE16" s="1" t="s">
        <v>72</v>
      </c>
      <c r="AF16" s="1" t="s">
        <v>72</v>
      </c>
      <c r="AG16" s="1" t="s">
        <v>72</v>
      </c>
      <c r="AH16" s="1" t="s">
        <v>72</v>
      </c>
      <c r="AI16" s="1" t="s">
        <v>72</v>
      </c>
      <c r="AJ16" s="1" t="s">
        <v>72</v>
      </c>
      <c r="AK16" s="1" t="s">
        <v>72</v>
      </c>
      <c r="AL16" s="1" t="s">
        <v>72</v>
      </c>
      <c r="AM16" s="0" t="s">
        <v>72</v>
      </c>
      <c r="AN16" s="1" t="n">
        <v>1</v>
      </c>
      <c r="AO16" s="1" t="s">
        <v>352</v>
      </c>
      <c r="AP16" s="1" t="s">
        <v>89</v>
      </c>
      <c r="AQ16" s="1" t="s">
        <v>353</v>
      </c>
      <c r="AR16" s="1" t="n">
        <v>0</v>
      </c>
      <c r="AS16" s="1" t="s">
        <v>72</v>
      </c>
      <c r="AT16" s="1" t="s">
        <v>72</v>
      </c>
      <c r="AU16" s="1" t="s">
        <v>72</v>
      </c>
      <c r="AV16" s="1" t="n">
        <v>1</v>
      </c>
      <c r="AW16" s="1" t="s">
        <v>354</v>
      </c>
      <c r="AX16" s="1" t="n">
        <v>1</v>
      </c>
      <c r="AY16" s="1" t="s">
        <v>355</v>
      </c>
      <c r="AZ16" s="1" t="b">
        <f aca="false">FALSE()</f>
        <v>0</v>
      </c>
      <c r="BA16" s="1" t="s">
        <v>72</v>
      </c>
      <c r="BB16" s="1" t="n">
        <v>0</v>
      </c>
      <c r="BC16" s="1" t="s">
        <v>72</v>
      </c>
      <c r="BD16" s="1" t="n">
        <v>1</v>
      </c>
      <c r="BE16" s="1" t="s">
        <v>356</v>
      </c>
      <c r="BF16" s="1" t="b">
        <f aca="false">FALSE()</f>
        <v>0</v>
      </c>
      <c r="BG16" s="1" t="s">
        <v>72</v>
      </c>
      <c r="BH16" s="1" t="s">
        <v>72</v>
      </c>
      <c r="BI16" s="1" t="s">
        <v>72</v>
      </c>
      <c r="BJ16" s="3" t="s">
        <v>357</v>
      </c>
      <c r="BK16" s="1" t="s">
        <v>72</v>
      </c>
      <c r="BL16" s="1" t="s">
        <v>72</v>
      </c>
      <c r="BM16" s="1" t="s">
        <v>72</v>
      </c>
      <c r="BN16" s="1" t="s">
        <v>72</v>
      </c>
      <c r="BO16" s="1" t="s">
        <v>72</v>
      </c>
      <c r="BP16" s="4" t="s">
        <v>358</v>
      </c>
      <c r="BQ16" s="3" t="s">
        <v>359</v>
      </c>
      <c r="BR16" s="0" t="s">
        <v>360</v>
      </c>
    </row>
    <row r="17" customFormat="false" ht="15" hidden="false" customHeight="false" outlineLevel="0" collapsed="false">
      <c r="A17" s="1" t="n">
        <v>4727</v>
      </c>
      <c r="B17" s="1" t="s">
        <v>98</v>
      </c>
      <c r="C17" s="1" t="s">
        <v>361</v>
      </c>
      <c r="D17" s="1" t="b">
        <f aca="false">FALSE()</f>
        <v>0</v>
      </c>
      <c r="E17" s="1" t="s">
        <v>72</v>
      </c>
      <c r="F17" s="1" t="n">
        <v>244</v>
      </c>
      <c r="G17" s="1" t="s">
        <v>241</v>
      </c>
      <c r="H17" s="1" t="s">
        <v>122</v>
      </c>
      <c r="I17" s="1" t="s">
        <v>241</v>
      </c>
      <c r="J17" s="3" t="b">
        <f aca="false">FALSE()</f>
        <v>0</v>
      </c>
      <c r="K17" s="3" t="s">
        <v>346</v>
      </c>
      <c r="L17" s="1" t="s">
        <v>75</v>
      </c>
      <c r="M17" s="2" t="s">
        <v>362</v>
      </c>
      <c r="N17" s="2" t="s">
        <v>363</v>
      </c>
      <c r="O17" s="1" t="s">
        <v>364</v>
      </c>
      <c r="P17" s="1" t="s">
        <v>365</v>
      </c>
      <c r="Q17" s="1" t="b">
        <f aca="false">FALSE()</f>
        <v>0</v>
      </c>
      <c r="R17" s="1" t="s">
        <v>72</v>
      </c>
      <c r="S17" s="1" t="s">
        <v>366</v>
      </c>
      <c r="T17" s="1" t="s">
        <v>72</v>
      </c>
      <c r="U17" s="1" t="s">
        <v>367</v>
      </c>
      <c r="V17" s="1" t="s">
        <v>72</v>
      </c>
      <c r="W17" s="1" t="s">
        <v>72</v>
      </c>
      <c r="X17" s="1" t="s">
        <v>72</v>
      </c>
      <c r="Y17" s="1" t="s">
        <v>72</v>
      </c>
      <c r="Z17" s="1" t="s">
        <v>72</v>
      </c>
      <c r="AA17" s="1" t="s">
        <v>72</v>
      </c>
      <c r="AB17" s="1" t="s">
        <v>72</v>
      </c>
      <c r="AC17" s="1" t="s">
        <v>72</v>
      </c>
      <c r="AD17" s="1" t="s">
        <v>72</v>
      </c>
      <c r="AE17" s="1" t="s">
        <v>72</v>
      </c>
      <c r="AF17" s="1" t="s">
        <v>72</v>
      </c>
      <c r="AG17" s="1" t="s">
        <v>72</v>
      </c>
      <c r="AH17" s="1" t="s">
        <v>72</v>
      </c>
      <c r="AI17" s="1" t="s">
        <v>72</v>
      </c>
      <c r="AJ17" s="1" t="s">
        <v>72</v>
      </c>
      <c r="AK17" s="1" t="s">
        <v>72</v>
      </c>
      <c r="AL17" s="1" t="s">
        <v>72</v>
      </c>
      <c r="AM17" s="0" t="s">
        <v>72</v>
      </c>
      <c r="AN17" s="1" t="n">
        <v>1</v>
      </c>
      <c r="AO17" s="1" t="s">
        <v>368</v>
      </c>
      <c r="AP17" s="1" t="s">
        <v>89</v>
      </c>
      <c r="AQ17" s="1" t="s">
        <v>369</v>
      </c>
      <c r="AR17" s="1" t="n">
        <v>0</v>
      </c>
      <c r="AS17" s="1" t="s">
        <v>72</v>
      </c>
      <c r="AT17" s="1" t="s">
        <v>72</v>
      </c>
      <c r="AU17" s="1" t="s">
        <v>72</v>
      </c>
      <c r="AV17" s="1" t="n">
        <v>1</v>
      </c>
      <c r="AW17" s="1" t="s">
        <v>354</v>
      </c>
      <c r="AX17" s="1" t="n">
        <v>0</v>
      </c>
      <c r="AY17" s="3" t="s">
        <v>196</v>
      </c>
      <c r="AZ17" s="1" t="b">
        <f aca="false">FALSE()</f>
        <v>0</v>
      </c>
      <c r="BA17" s="3" t="s">
        <v>196</v>
      </c>
      <c r="BB17" s="1" t="n">
        <v>0</v>
      </c>
      <c r="BC17" s="1" t="s">
        <v>72</v>
      </c>
      <c r="BD17" s="1" t="n">
        <v>0</v>
      </c>
      <c r="BE17" s="1" t="s">
        <v>72</v>
      </c>
      <c r="BF17" s="1" t="b">
        <f aca="false">FALSE()</f>
        <v>0</v>
      </c>
      <c r="BG17" s="1" t="s">
        <v>72</v>
      </c>
      <c r="BH17" s="1" t="s">
        <v>72</v>
      </c>
      <c r="BI17" s="1" t="s">
        <v>72</v>
      </c>
      <c r="BJ17" s="3" t="s">
        <v>357</v>
      </c>
      <c r="BK17" s="1" t="s">
        <v>72</v>
      </c>
      <c r="BL17" s="1" t="s">
        <v>72</v>
      </c>
      <c r="BM17" s="1" t="s">
        <v>72</v>
      </c>
      <c r="BN17" s="1" t="s">
        <v>72</v>
      </c>
      <c r="BO17" s="1" t="s">
        <v>72</v>
      </c>
      <c r="BP17" s="4" t="s">
        <v>358</v>
      </c>
      <c r="BQ17" s="3" t="s">
        <v>370</v>
      </c>
      <c r="BR17" s="0" t="s">
        <v>360</v>
      </c>
    </row>
    <row r="18" customFormat="false" ht="15" hidden="false" customHeight="false" outlineLevel="0" collapsed="false">
      <c r="A18" s="1" t="n">
        <v>5232</v>
      </c>
      <c r="B18" s="1" t="s">
        <v>70</v>
      </c>
      <c r="C18" s="1" t="s">
        <v>371</v>
      </c>
      <c r="D18" s="1" t="b">
        <f aca="false">FALSE()</f>
        <v>0</v>
      </c>
      <c r="E18" s="1" t="s">
        <v>72</v>
      </c>
      <c r="F18" s="1" t="n">
        <v>41</v>
      </c>
      <c r="G18" s="1" t="s">
        <v>372</v>
      </c>
      <c r="H18" s="1" t="s">
        <v>122</v>
      </c>
      <c r="I18" s="1" t="s">
        <v>372</v>
      </c>
      <c r="J18" s="1" t="b">
        <f aca="false">FALSE()</f>
        <v>0</v>
      </c>
      <c r="K18" s="1" t="s">
        <v>72</v>
      </c>
      <c r="L18" s="1" t="s">
        <v>75</v>
      </c>
      <c r="M18" s="2" t="s">
        <v>373</v>
      </c>
      <c r="N18" s="2" t="s">
        <v>374</v>
      </c>
      <c r="O18" s="1" t="s">
        <v>153</v>
      </c>
      <c r="P18" s="1" t="s">
        <v>375</v>
      </c>
      <c r="Q18" s="1" t="b">
        <f aca="false">FALSE()</f>
        <v>0</v>
      </c>
      <c r="R18" s="1" t="s">
        <v>72</v>
      </c>
      <c r="S18" s="1" t="s">
        <v>376</v>
      </c>
      <c r="T18" s="1" t="s">
        <v>377</v>
      </c>
      <c r="U18" s="1" t="s">
        <v>72</v>
      </c>
      <c r="V18" s="1" t="s">
        <v>72</v>
      </c>
      <c r="W18" s="1" t="s">
        <v>72</v>
      </c>
      <c r="X18" s="1" t="s">
        <v>72</v>
      </c>
      <c r="Y18" s="1" t="s">
        <v>378</v>
      </c>
      <c r="Z18" s="1" t="s">
        <v>379</v>
      </c>
      <c r="AA18" s="1" t="s">
        <v>306</v>
      </c>
      <c r="AB18" s="1" t="s">
        <v>380</v>
      </c>
      <c r="AC18" s="1" t="s">
        <v>381</v>
      </c>
      <c r="AD18" s="1" t="s">
        <v>72</v>
      </c>
      <c r="AE18" s="3" t="s">
        <v>382</v>
      </c>
      <c r="AF18" s="1" t="s">
        <v>72</v>
      </c>
      <c r="AG18" s="1" t="s">
        <v>72</v>
      </c>
      <c r="AH18" s="1" t="s">
        <v>72</v>
      </c>
      <c r="AI18" s="1" t="s">
        <v>383</v>
      </c>
      <c r="AJ18" s="1" t="s">
        <v>72</v>
      </c>
      <c r="AK18" s="1" t="s">
        <v>72</v>
      </c>
      <c r="AL18" s="1" t="s">
        <v>384</v>
      </c>
      <c r="AM18" s="0" t="s">
        <v>385</v>
      </c>
      <c r="AN18" s="1" t="n">
        <v>2</v>
      </c>
      <c r="AO18" s="1" t="s">
        <v>386</v>
      </c>
      <c r="AP18" s="1" t="s">
        <v>89</v>
      </c>
      <c r="AQ18" s="1" t="s">
        <v>387</v>
      </c>
      <c r="AR18" s="1" t="n">
        <v>0</v>
      </c>
      <c r="AS18" s="1" t="s">
        <v>72</v>
      </c>
      <c r="AT18" s="1" t="s">
        <v>72</v>
      </c>
      <c r="AU18" s="1" t="s">
        <v>72</v>
      </c>
      <c r="AV18" s="1" t="n">
        <v>1</v>
      </c>
      <c r="AW18" s="1" t="s">
        <v>388</v>
      </c>
      <c r="AX18" s="1" t="n">
        <v>1</v>
      </c>
      <c r="AY18" s="1" t="s">
        <v>389</v>
      </c>
      <c r="AZ18" s="1" t="b">
        <f aca="false">FALSE()</f>
        <v>0</v>
      </c>
      <c r="BA18" s="1" t="s">
        <v>72</v>
      </c>
      <c r="BB18" s="1" t="n">
        <v>0</v>
      </c>
      <c r="BC18" s="1" t="s">
        <v>72</v>
      </c>
      <c r="BD18" s="1" t="n">
        <v>1</v>
      </c>
      <c r="BE18" s="1" t="s">
        <v>390</v>
      </c>
      <c r="BF18" s="1" t="b">
        <f aca="false">TRUE()</f>
        <v>1</v>
      </c>
      <c r="BG18" s="1" t="s">
        <v>72</v>
      </c>
      <c r="BH18" s="1" t="s">
        <v>72</v>
      </c>
      <c r="BI18" s="3" t="s">
        <v>391</v>
      </c>
      <c r="BJ18" s="3" t="s">
        <v>392</v>
      </c>
      <c r="BK18" s="1" t="s">
        <v>72</v>
      </c>
      <c r="BL18" s="3" t="s">
        <v>72</v>
      </c>
      <c r="BM18" s="1" t="s">
        <v>72</v>
      </c>
      <c r="BN18" s="1" t="s">
        <v>72</v>
      </c>
      <c r="BO18" s="1" t="s">
        <v>72</v>
      </c>
      <c r="BP18" s="1" t="s">
        <v>72</v>
      </c>
      <c r="BQ18" s="1" t="s">
        <v>72</v>
      </c>
      <c r="BR18" s="0" t="s">
        <v>393</v>
      </c>
    </row>
    <row r="19" customFormat="false" ht="15" hidden="false" customHeight="false" outlineLevel="0" collapsed="false">
      <c r="A19" s="1" t="n">
        <v>5232</v>
      </c>
      <c r="B19" s="1" t="s">
        <v>394</v>
      </c>
      <c r="C19" s="1" t="s">
        <v>395</v>
      </c>
      <c r="D19" s="1" t="b">
        <f aca="false">FALSE()</f>
        <v>0</v>
      </c>
      <c r="E19" s="1" t="s">
        <v>72</v>
      </c>
      <c r="F19" s="1" t="n">
        <v>41</v>
      </c>
      <c r="G19" s="1" t="s">
        <v>372</v>
      </c>
      <c r="H19" s="1" t="s">
        <v>122</v>
      </c>
      <c r="I19" s="1" t="s">
        <v>372</v>
      </c>
      <c r="J19" s="1" t="b">
        <f aca="false">FALSE()</f>
        <v>0</v>
      </c>
      <c r="K19" s="1" t="s">
        <v>72</v>
      </c>
      <c r="L19" s="1" t="s">
        <v>75</v>
      </c>
      <c r="M19" s="2" t="s">
        <v>373</v>
      </c>
      <c r="N19" s="2" t="s">
        <v>374</v>
      </c>
      <c r="O19" s="1" t="s">
        <v>153</v>
      </c>
      <c r="P19" s="1" t="s">
        <v>375</v>
      </c>
      <c r="Q19" s="1" t="b">
        <f aca="false">FALSE()</f>
        <v>0</v>
      </c>
      <c r="R19" s="1" t="s">
        <v>72</v>
      </c>
      <c r="S19" s="1" t="s">
        <v>396</v>
      </c>
      <c r="T19" s="1" t="s">
        <v>397</v>
      </c>
      <c r="U19" s="1" t="s">
        <v>72</v>
      </c>
      <c r="V19" s="1" t="s">
        <v>72</v>
      </c>
      <c r="W19" s="1" t="s">
        <v>72</v>
      </c>
      <c r="X19" s="1" t="s">
        <v>72</v>
      </c>
      <c r="Y19" s="1" t="s">
        <v>398</v>
      </c>
      <c r="Z19" s="1" t="s">
        <v>399</v>
      </c>
      <c r="AA19" s="1" t="s">
        <v>400</v>
      </c>
      <c r="AB19" s="1" t="s">
        <v>401</v>
      </c>
      <c r="AC19" s="1" t="s">
        <v>402</v>
      </c>
      <c r="AD19" s="1" t="s">
        <v>72</v>
      </c>
      <c r="AE19" s="3" t="s">
        <v>403</v>
      </c>
      <c r="AF19" s="1" t="s">
        <v>72</v>
      </c>
      <c r="AG19" s="1" t="s">
        <v>72</v>
      </c>
      <c r="AH19" s="1" t="s">
        <v>72</v>
      </c>
      <c r="AI19" s="1" t="s">
        <v>404</v>
      </c>
      <c r="AJ19" s="1" t="s">
        <v>72</v>
      </c>
      <c r="AK19" s="1" t="s">
        <v>72</v>
      </c>
      <c r="AL19" s="1" t="s">
        <v>405</v>
      </c>
      <c r="AM19" s="0" t="s">
        <v>406</v>
      </c>
      <c r="AN19" s="1" t="n">
        <v>2</v>
      </c>
      <c r="AO19" s="1" t="s">
        <v>407</v>
      </c>
      <c r="AP19" s="1" t="s">
        <v>89</v>
      </c>
      <c r="AQ19" s="1" t="s">
        <v>408</v>
      </c>
      <c r="AR19" s="1" t="n">
        <v>0</v>
      </c>
      <c r="AS19" s="1" t="s">
        <v>72</v>
      </c>
      <c r="AT19" s="1" t="s">
        <v>72</v>
      </c>
      <c r="AU19" s="1" t="s">
        <v>72</v>
      </c>
      <c r="AV19" s="1" t="n">
        <v>1</v>
      </c>
      <c r="AW19" s="1" t="s">
        <v>388</v>
      </c>
      <c r="AX19" s="1" t="n">
        <v>1</v>
      </c>
      <c r="AY19" s="1" t="s">
        <v>389</v>
      </c>
      <c r="AZ19" s="1" t="b">
        <f aca="false">FALSE()</f>
        <v>0</v>
      </c>
      <c r="BA19" s="1" t="s">
        <v>72</v>
      </c>
      <c r="BB19" s="1" t="n">
        <v>0</v>
      </c>
      <c r="BC19" s="1" t="s">
        <v>72</v>
      </c>
      <c r="BD19" s="1" t="n">
        <v>1</v>
      </c>
      <c r="BE19" s="1" t="s">
        <v>390</v>
      </c>
      <c r="BF19" s="1" t="b">
        <f aca="false">TRUE()</f>
        <v>1</v>
      </c>
      <c r="BG19" s="1" t="s">
        <v>72</v>
      </c>
      <c r="BH19" s="1" t="s">
        <v>72</v>
      </c>
      <c r="BI19" s="3" t="s">
        <v>409</v>
      </c>
      <c r="BJ19" s="3" t="s">
        <v>392</v>
      </c>
      <c r="BK19" s="1" t="s">
        <v>72</v>
      </c>
      <c r="BL19" s="3" t="s">
        <v>72</v>
      </c>
      <c r="BM19" s="1" t="s">
        <v>72</v>
      </c>
      <c r="BN19" s="1" t="s">
        <v>72</v>
      </c>
      <c r="BO19" s="1" t="s">
        <v>72</v>
      </c>
      <c r="BP19" s="1" t="s">
        <v>72</v>
      </c>
      <c r="BQ19" s="1" t="s">
        <v>72</v>
      </c>
      <c r="BR19" s="0" t="s">
        <v>393</v>
      </c>
    </row>
    <row r="20" customFormat="false" ht="15" hidden="false" customHeight="false" outlineLevel="0" collapsed="false">
      <c r="A20" s="1" t="n">
        <v>5232</v>
      </c>
      <c r="B20" s="1" t="s">
        <v>98</v>
      </c>
      <c r="C20" s="1" t="s">
        <v>410</v>
      </c>
      <c r="D20" s="1" t="b">
        <f aca="false">FALSE()</f>
        <v>0</v>
      </c>
      <c r="E20" s="1" t="s">
        <v>72</v>
      </c>
      <c r="F20" s="1" t="n">
        <v>40</v>
      </c>
      <c r="G20" s="1" t="s">
        <v>372</v>
      </c>
      <c r="H20" s="1" t="s">
        <v>122</v>
      </c>
      <c r="I20" s="1" t="s">
        <v>372</v>
      </c>
      <c r="J20" s="1" t="b">
        <f aca="false">FALSE()</f>
        <v>0</v>
      </c>
      <c r="K20" s="1" t="s">
        <v>72</v>
      </c>
      <c r="L20" s="1" t="s">
        <v>75</v>
      </c>
      <c r="M20" s="2" t="s">
        <v>411</v>
      </c>
      <c r="N20" s="2" t="s">
        <v>412</v>
      </c>
      <c r="O20" s="1" t="s">
        <v>413</v>
      </c>
      <c r="P20" s="1" t="s">
        <v>414</v>
      </c>
      <c r="Q20" s="1" t="b">
        <f aca="false">FALSE()</f>
        <v>0</v>
      </c>
      <c r="R20" s="1" t="s">
        <v>72</v>
      </c>
      <c r="S20" s="1" t="s">
        <v>415</v>
      </c>
      <c r="T20" s="1" t="s">
        <v>416</v>
      </c>
      <c r="U20" s="1" t="s">
        <v>72</v>
      </c>
      <c r="V20" s="1" t="s">
        <v>72</v>
      </c>
      <c r="W20" s="1" t="s">
        <v>72</v>
      </c>
      <c r="X20" s="1" t="s">
        <v>72</v>
      </c>
      <c r="Y20" s="1" t="s">
        <v>417</v>
      </c>
      <c r="Z20" s="1" t="s">
        <v>418</v>
      </c>
      <c r="AA20" s="1" t="s">
        <v>419</v>
      </c>
      <c r="AB20" s="1" t="s">
        <v>420</v>
      </c>
      <c r="AC20" s="1" t="s">
        <v>421</v>
      </c>
      <c r="AD20" s="1" t="s">
        <v>72</v>
      </c>
      <c r="AE20" s="3" t="s">
        <v>422</v>
      </c>
      <c r="AF20" s="1" t="s">
        <v>72</v>
      </c>
      <c r="AG20" s="1" t="s">
        <v>72</v>
      </c>
      <c r="AH20" s="1" t="s">
        <v>72</v>
      </c>
      <c r="AI20" s="1" t="s">
        <v>423</v>
      </c>
      <c r="AJ20" s="1" t="s">
        <v>72</v>
      </c>
      <c r="AK20" s="1" t="s">
        <v>72</v>
      </c>
      <c r="AL20" s="1" t="s">
        <v>424</v>
      </c>
      <c r="AM20" s="0" t="s">
        <v>425</v>
      </c>
      <c r="AN20" s="1" t="n">
        <v>2</v>
      </c>
      <c r="AO20" s="1" t="s">
        <v>426</v>
      </c>
      <c r="AP20" s="1" t="s">
        <v>234</v>
      </c>
      <c r="AQ20" s="1" t="s">
        <v>72</v>
      </c>
      <c r="AR20" s="1" t="n">
        <v>0</v>
      </c>
      <c r="AS20" s="1" t="s">
        <v>72</v>
      </c>
      <c r="AT20" s="1" t="s">
        <v>72</v>
      </c>
      <c r="AU20" s="1" t="s">
        <v>72</v>
      </c>
      <c r="AV20" s="1" t="n">
        <v>1</v>
      </c>
      <c r="AW20" s="1" t="s">
        <v>388</v>
      </c>
      <c r="AX20" s="1" t="n">
        <v>0</v>
      </c>
      <c r="AY20" s="1" t="s">
        <v>72</v>
      </c>
      <c r="AZ20" s="1" t="b">
        <f aca="false">FALSE()</f>
        <v>0</v>
      </c>
      <c r="BA20" s="1" t="s">
        <v>72</v>
      </c>
      <c r="BB20" s="1" t="n">
        <v>0</v>
      </c>
      <c r="BC20" s="1" t="s">
        <v>72</v>
      </c>
      <c r="BD20" s="1" t="n">
        <v>0</v>
      </c>
      <c r="BE20" s="1" t="s">
        <v>72</v>
      </c>
      <c r="BF20" s="1" t="b">
        <f aca="false">TRUE()</f>
        <v>1</v>
      </c>
      <c r="BG20" s="1" t="s">
        <v>72</v>
      </c>
      <c r="BH20" s="1" t="s">
        <v>72</v>
      </c>
      <c r="BI20" s="3" t="s">
        <v>427</v>
      </c>
      <c r="BJ20" s="3" t="s">
        <v>392</v>
      </c>
      <c r="BK20" s="1" t="s">
        <v>72</v>
      </c>
      <c r="BL20" s="3" t="s">
        <v>72</v>
      </c>
      <c r="BM20" s="1" t="s">
        <v>72</v>
      </c>
      <c r="BN20" s="1" t="s">
        <v>72</v>
      </c>
      <c r="BO20" s="1" t="s">
        <v>72</v>
      </c>
      <c r="BP20" s="1" t="s">
        <v>72</v>
      </c>
      <c r="BQ20" s="1" t="s">
        <v>72</v>
      </c>
      <c r="BR20" s="0" t="s">
        <v>393</v>
      </c>
    </row>
    <row r="21" customFormat="false" ht="15" hidden="false" customHeight="false" outlineLevel="0" collapsed="false">
      <c r="A21" s="1" t="n">
        <v>5343</v>
      </c>
      <c r="B21" s="1" t="s">
        <v>70</v>
      </c>
      <c r="C21" s="1" t="s">
        <v>428</v>
      </c>
      <c r="D21" s="1" t="b">
        <f aca="false">FALSE()</f>
        <v>0</v>
      </c>
      <c r="E21" s="1" t="s">
        <v>72</v>
      </c>
      <c r="F21" s="3" t="s">
        <v>429</v>
      </c>
      <c r="G21" s="1" t="s">
        <v>430</v>
      </c>
      <c r="H21" s="1" t="s">
        <v>122</v>
      </c>
      <c r="I21" s="1" t="s">
        <v>430</v>
      </c>
      <c r="J21" s="1" t="b">
        <f aca="false">FALSE()</f>
        <v>0</v>
      </c>
      <c r="K21" s="1" t="s">
        <v>72</v>
      </c>
      <c r="L21" s="1" t="s">
        <v>75</v>
      </c>
      <c r="M21" s="6" t="s">
        <v>431</v>
      </c>
      <c r="N21" s="6" t="s">
        <v>432</v>
      </c>
      <c r="O21" s="1" t="s">
        <v>173</v>
      </c>
      <c r="P21" s="1" t="s">
        <v>189</v>
      </c>
      <c r="Q21" s="1" t="b">
        <f aca="false">FALSE()</f>
        <v>0</v>
      </c>
      <c r="R21" s="1" t="s">
        <v>72</v>
      </c>
      <c r="S21" s="1" t="s">
        <v>433</v>
      </c>
      <c r="T21" s="1" t="s">
        <v>434</v>
      </c>
      <c r="U21" s="1" t="s">
        <v>72</v>
      </c>
      <c r="V21" s="1" t="s">
        <v>72</v>
      </c>
      <c r="W21" s="1" t="s">
        <v>435</v>
      </c>
      <c r="X21" s="1" t="s">
        <v>226</v>
      </c>
      <c r="Y21" s="1" t="s">
        <v>72</v>
      </c>
      <c r="Z21" s="1" t="s">
        <v>72</v>
      </c>
      <c r="AA21" s="1" t="s">
        <v>72</v>
      </c>
      <c r="AB21" s="1" t="s">
        <v>72</v>
      </c>
      <c r="AC21" s="1" t="s">
        <v>72</v>
      </c>
      <c r="AD21" s="1" t="s">
        <v>72</v>
      </c>
      <c r="AE21" s="2" t="s">
        <v>436</v>
      </c>
      <c r="AF21" s="1" t="s">
        <v>72</v>
      </c>
      <c r="AG21" s="1" t="s">
        <v>72</v>
      </c>
      <c r="AH21" s="1" t="s">
        <v>72</v>
      </c>
      <c r="AI21" s="1" t="s">
        <v>72</v>
      </c>
      <c r="AJ21" s="1" t="s">
        <v>437</v>
      </c>
      <c r="AK21" s="1" t="s">
        <v>438</v>
      </c>
      <c r="AL21" s="1" t="s">
        <v>72</v>
      </c>
      <c r="AM21" s="0" t="s">
        <v>439</v>
      </c>
      <c r="AN21" s="1" t="n">
        <v>2</v>
      </c>
      <c r="AO21" s="1" t="s">
        <v>440</v>
      </c>
      <c r="AP21" s="1" t="s">
        <v>89</v>
      </c>
      <c r="AQ21" s="1" t="s">
        <v>441</v>
      </c>
      <c r="AR21" s="1" t="n">
        <v>0</v>
      </c>
      <c r="AS21" s="1" t="s">
        <v>72</v>
      </c>
      <c r="AT21" s="1" t="s">
        <v>72</v>
      </c>
      <c r="AU21" s="1" t="s">
        <v>72</v>
      </c>
      <c r="AV21" s="1" t="n">
        <v>1</v>
      </c>
      <c r="AW21" s="1" t="s">
        <v>442</v>
      </c>
      <c r="AX21" s="4" t="s">
        <v>252</v>
      </c>
      <c r="AY21" s="4" t="s">
        <v>443</v>
      </c>
      <c r="AZ21" s="4" t="b">
        <f aca="false">FALSE()</f>
        <v>0</v>
      </c>
      <c r="BA21" s="4" t="s">
        <v>72</v>
      </c>
      <c r="BB21" s="1" t="n">
        <v>1</v>
      </c>
      <c r="BC21" s="1" t="s">
        <v>444</v>
      </c>
      <c r="BD21" s="1" t="n">
        <v>0</v>
      </c>
      <c r="BE21" s="1" t="s">
        <v>72</v>
      </c>
      <c r="BF21" s="1" t="b">
        <f aca="false">FALSE()</f>
        <v>0</v>
      </c>
      <c r="BG21" s="1" t="s">
        <v>72</v>
      </c>
      <c r="BH21" s="1" t="s">
        <v>72</v>
      </c>
      <c r="BI21" s="1" t="s">
        <v>72</v>
      </c>
      <c r="BJ21" s="1" t="b">
        <f aca="false">TRUE()</f>
        <v>1</v>
      </c>
      <c r="BK21" s="1" t="s">
        <v>72</v>
      </c>
      <c r="BL21" s="1" t="s">
        <v>72</v>
      </c>
      <c r="BM21" s="1" t="s">
        <v>72</v>
      </c>
      <c r="BN21" s="2" t="s">
        <v>445</v>
      </c>
      <c r="BO21" s="1" t="s">
        <v>72</v>
      </c>
      <c r="BP21" s="1" t="s">
        <v>72</v>
      </c>
      <c r="BQ21" s="1" t="s">
        <v>72</v>
      </c>
      <c r="BR21" s="0" t="s">
        <v>446</v>
      </c>
    </row>
    <row r="22" customFormat="false" ht="15" hidden="false" customHeight="false" outlineLevel="0" collapsed="false">
      <c r="A22" s="1" t="n">
        <v>5343</v>
      </c>
      <c r="B22" s="1" t="s">
        <v>98</v>
      </c>
      <c r="C22" s="1" t="s">
        <v>447</v>
      </c>
      <c r="D22" s="1" t="b">
        <f aca="false">FALSE()</f>
        <v>0</v>
      </c>
      <c r="E22" s="1" t="s">
        <v>72</v>
      </c>
      <c r="F22" s="1" t="n">
        <v>16</v>
      </c>
      <c r="G22" s="1" t="s">
        <v>430</v>
      </c>
      <c r="H22" s="1" t="s">
        <v>122</v>
      </c>
      <c r="I22" s="1" t="s">
        <v>430</v>
      </c>
      <c r="J22" s="1" t="b">
        <f aca="false">FALSE()</f>
        <v>0</v>
      </c>
      <c r="K22" s="1" t="s">
        <v>72</v>
      </c>
      <c r="L22" s="1" t="s">
        <v>75</v>
      </c>
      <c r="M22" s="6" t="s">
        <v>448</v>
      </c>
      <c r="N22" s="6" t="s">
        <v>449</v>
      </c>
      <c r="O22" s="1" t="s">
        <v>177</v>
      </c>
      <c r="P22" s="1" t="s">
        <v>450</v>
      </c>
      <c r="Q22" s="1" t="b">
        <f aca="false">FALSE()</f>
        <v>0</v>
      </c>
      <c r="R22" s="1" t="s">
        <v>72</v>
      </c>
      <c r="S22" s="1" t="s">
        <v>451</v>
      </c>
      <c r="T22" s="1" t="s">
        <v>452</v>
      </c>
      <c r="U22" s="1" t="s">
        <v>72</v>
      </c>
      <c r="V22" s="1" t="s">
        <v>72</v>
      </c>
      <c r="W22" s="1" t="s">
        <v>453</v>
      </c>
      <c r="X22" s="1" t="s">
        <v>454</v>
      </c>
      <c r="Y22" s="1" t="s">
        <v>72</v>
      </c>
      <c r="Z22" s="1" t="s">
        <v>72</v>
      </c>
      <c r="AA22" s="1" t="s">
        <v>72</v>
      </c>
      <c r="AB22" s="1" t="s">
        <v>72</v>
      </c>
      <c r="AC22" s="1" t="s">
        <v>72</v>
      </c>
      <c r="AD22" s="1" t="s">
        <v>72</v>
      </c>
      <c r="AE22" s="2" t="s">
        <v>455</v>
      </c>
      <c r="AF22" s="1" t="s">
        <v>72</v>
      </c>
      <c r="AG22" s="1" t="s">
        <v>72</v>
      </c>
      <c r="AH22" s="1" t="s">
        <v>72</v>
      </c>
      <c r="AI22" s="1" t="s">
        <v>72</v>
      </c>
      <c r="AJ22" s="1" t="s">
        <v>456</v>
      </c>
      <c r="AK22" s="1" t="s">
        <v>457</v>
      </c>
      <c r="AL22" s="1" t="s">
        <v>72</v>
      </c>
      <c r="AM22" s="0" t="s">
        <v>458</v>
      </c>
      <c r="AN22" s="1" t="n">
        <v>2</v>
      </c>
      <c r="AO22" s="1" t="s">
        <v>459</v>
      </c>
      <c r="AP22" s="1" t="s">
        <v>89</v>
      </c>
      <c r="AQ22" s="1" t="s">
        <v>460</v>
      </c>
      <c r="AR22" s="1" t="n">
        <v>0</v>
      </c>
      <c r="AS22" s="1" t="s">
        <v>72</v>
      </c>
      <c r="AT22" s="1" t="s">
        <v>72</v>
      </c>
      <c r="AU22" s="1" t="s">
        <v>72</v>
      </c>
      <c r="AV22" s="1" t="n">
        <v>1</v>
      </c>
      <c r="AW22" s="1" t="s">
        <v>442</v>
      </c>
      <c r="AX22" s="1" t="n">
        <v>0</v>
      </c>
      <c r="AY22" s="3" t="s">
        <v>196</v>
      </c>
      <c r="AZ22" s="1" t="b">
        <f aca="false">FALSE()</f>
        <v>0</v>
      </c>
      <c r="BA22" s="3" t="s">
        <v>196</v>
      </c>
      <c r="BB22" s="1" t="n">
        <v>0</v>
      </c>
      <c r="BC22" s="1" t="s">
        <v>72</v>
      </c>
      <c r="BD22" s="1" t="n">
        <v>0</v>
      </c>
      <c r="BE22" s="1" t="s">
        <v>72</v>
      </c>
      <c r="BF22" s="1" t="b">
        <f aca="false">FALSE()</f>
        <v>0</v>
      </c>
      <c r="BG22" s="1" t="s">
        <v>72</v>
      </c>
      <c r="BH22" s="1" t="s">
        <v>72</v>
      </c>
      <c r="BI22" s="1" t="s">
        <v>72</v>
      </c>
      <c r="BJ22" s="1" t="b">
        <f aca="false">TRUE()</f>
        <v>1</v>
      </c>
      <c r="BK22" s="1" t="s">
        <v>72</v>
      </c>
      <c r="BL22" s="1" t="s">
        <v>72</v>
      </c>
      <c r="BM22" s="1" t="s">
        <v>72</v>
      </c>
      <c r="BN22" s="2" t="s">
        <v>461</v>
      </c>
      <c r="BO22" s="1" t="s">
        <v>72</v>
      </c>
      <c r="BP22" s="1" t="s">
        <v>72</v>
      </c>
      <c r="BQ22" s="1" t="s">
        <v>72</v>
      </c>
      <c r="BR22" s="0" t="s">
        <v>446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van der Kuijl, W.J. (Willem)</dc:creator>
  <dc:description/>
  <dc:language>en-US</dc:language>
  <cp:lastModifiedBy/>
  <dcterms:modified xsi:type="dcterms:W3CDTF">2026-05-29T14:37:43Z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